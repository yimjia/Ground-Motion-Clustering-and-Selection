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filterPrivacy="1" codeName="ThisWorkbook" hidePivotFieldList="1" autoCompressPictures="0" defaultThemeVersion="124226"/>
  <xr:revisionPtr revIDLastSave="0" documentId="13_ncr:1_{28CE8C19-1A9F-48EB-9BFC-5859D1E0D921}" xr6:coauthVersionLast="47" xr6:coauthVersionMax="47" xr10:uidLastSave="{00000000-0000-0000-0000-000000000000}"/>
  <bookViews>
    <workbookView xWindow="-98" yWindow="-98" windowWidth="24496" windowHeight="15675" tabRatio="841" xr2:uid="{00000000-000D-0000-FFFF-FFFF00000000}"/>
  </bookViews>
  <sheets>
    <sheet name="Main" sheetId="1" r:id="rId1"/>
    <sheet name="Instructions" sheetId="22" r:id="rId2"/>
    <sheet name="Model Applicability" sheetId="16" r:id="rId3"/>
    <sheet name="ASK14" sheetId="4" r:id="rId4"/>
    <sheet name="ASK14_Coeffs" sheetId="5" r:id="rId5"/>
    <sheet name="BSSA14" sheetId="8" r:id="rId6"/>
    <sheet name="BSSA14_Coeffs" sheetId="9" r:id="rId7"/>
    <sheet name="CB14" sheetId="3" r:id="rId8"/>
    <sheet name="CB14_Coeffs" sheetId="2" r:id="rId9"/>
    <sheet name="CY14" sheetId="13" r:id="rId10"/>
    <sheet name="CY14_Coeffs" sheetId="7" r:id="rId11"/>
    <sheet name="I14" sheetId="10" r:id="rId12"/>
    <sheet name="I14_Coeffs" sheetId="11" r:id="rId13"/>
    <sheet name="GMPEs Comparison" sheetId="19" state="hidden" r:id="rId14"/>
    <sheet name="DSF" sheetId="17" r:id="rId15"/>
    <sheet name="Sheet1" sheetId="21" state="hidden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7" i="1" l="1"/>
  <c r="C36" i="1" l="1"/>
  <c r="A6" i="4" l="1"/>
  <c r="B101" i="1"/>
  <c r="A42" i="13" s="1"/>
  <c r="A18" i="4"/>
  <c r="A21" i="4"/>
  <c r="B21" i="4" s="1"/>
  <c r="C60" i="1" s="1"/>
  <c r="AB38" i="1" s="1"/>
  <c r="A30" i="4"/>
  <c r="A36" i="4"/>
  <c r="C78" i="1"/>
  <c r="A6" i="3"/>
  <c r="B6" i="3" s="1"/>
  <c r="A21" i="3"/>
  <c r="A39" i="3"/>
  <c r="B39" i="3" s="1"/>
  <c r="A42" i="3"/>
  <c r="A6" i="13"/>
  <c r="A21" i="13"/>
  <c r="A36" i="13"/>
  <c r="A9" i="13"/>
  <c r="A9" i="3"/>
  <c r="B9" i="3" s="1"/>
  <c r="A18" i="3"/>
  <c r="A15" i="3"/>
  <c r="A30" i="3"/>
  <c r="B30" i="3" s="1"/>
  <c r="A24" i="3"/>
  <c r="A12" i="3"/>
  <c r="A27" i="3"/>
  <c r="A33" i="3"/>
  <c r="B33" i="3" s="1"/>
  <c r="A36" i="3"/>
  <c r="B36" i="3" s="1"/>
  <c r="F115" i="1"/>
  <c r="F109" i="1" s="1"/>
  <c r="A71" i="3" s="1"/>
  <c r="C113" i="1"/>
  <c r="V29" i="3"/>
  <c r="V28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6" i="3"/>
  <c r="B92" i="1"/>
  <c r="A33" i="8" s="1"/>
  <c r="A6" i="10"/>
  <c r="B6" i="10" s="1"/>
  <c r="A45" i="4"/>
  <c r="A39" i="4"/>
  <c r="A9" i="4"/>
  <c r="B9" i="4" s="1"/>
  <c r="C27" i="1" s="1"/>
  <c r="A15" i="4"/>
  <c r="A24" i="4"/>
  <c r="A33" i="4"/>
  <c r="A12" i="4"/>
  <c r="B98" i="1"/>
  <c r="A51" i="4" s="1"/>
  <c r="A6" i="8"/>
  <c r="N12" i="8" s="1"/>
  <c r="A12" i="8"/>
  <c r="B12" i="8" s="1"/>
  <c r="C30" i="1" s="1"/>
  <c r="AB29" i="1" s="1"/>
  <c r="A18" i="8"/>
  <c r="A21" i="8"/>
  <c r="A15" i="8"/>
  <c r="B15" i="8" s="1"/>
  <c r="A27" i="8"/>
  <c r="B27" i="8" s="1"/>
  <c r="A15" i="13"/>
  <c r="A18" i="13"/>
  <c r="B18" i="13" s="1"/>
  <c r="A33" i="13"/>
  <c r="B33" i="13" s="1"/>
  <c r="A27" i="13"/>
  <c r="A30" i="13"/>
  <c r="A12" i="13"/>
  <c r="C45" i="1"/>
  <c r="AB30" i="1" s="1"/>
  <c r="J21" i="1"/>
  <c r="D17" i="1"/>
  <c r="M22" i="1"/>
  <c r="Y80" i="1"/>
  <c r="Z80" i="1"/>
  <c r="E16" i="1"/>
  <c r="L22" i="1"/>
  <c r="K22" i="1"/>
  <c r="J22" i="1"/>
  <c r="H22" i="1"/>
  <c r="G22" i="1"/>
  <c r="F22" i="1"/>
  <c r="C26" i="1"/>
  <c r="G115" i="1"/>
  <c r="A56" i="13" s="1"/>
  <c r="R24" i="1"/>
  <c r="B16" i="17"/>
  <c r="P29" i="17" s="1"/>
  <c r="B18" i="17"/>
  <c r="O23" i="17" s="1"/>
  <c r="Y102" i="1"/>
  <c r="Z102" i="1"/>
  <c r="A24" i="8"/>
  <c r="AB36" i="1"/>
  <c r="AB39" i="1"/>
  <c r="AB40" i="1"/>
  <c r="AB25" i="1"/>
  <c r="A27" i="4"/>
  <c r="B95" i="1"/>
  <c r="A48" i="4" s="1"/>
  <c r="A24" i="13"/>
  <c r="A9" i="10"/>
  <c r="B9" i="10" s="1"/>
  <c r="A12" i="10"/>
  <c r="B12" i="10" s="1"/>
  <c r="A15" i="10"/>
  <c r="B15" i="10" s="1"/>
  <c r="AB45" i="1"/>
  <c r="AB47" i="1"/>
  <c r="AB50" i="1"/>
  <c r="Y86" i="1"/>
  <c r="Z86" i="1"/>
  <c r="B17" i="17"/>
  <c r="Q37" i="17" s="1"/>
  <c r="B8" i="19"/>
  <c r="D11" i="19" s="1"/>
  <c r="B7" i="19"/>
  <c r="F5" i="19"/>
  <c r="E5" i="19"/>
  <c r="D5" i="19"/>
  <c r="C5" i="19"/>
  <c r="B5" i="19"/>
  <c r="C2" i="19"/>
  <c r="D11" i="1"/>
  <c r="C104" i="1" s="1"/>
  <c r="C95" i="1"/>
  <c r="C101" i="1"/>
  <c r="AT29" i="7"/>
  <c r="E34" i="13"/>
  <c r="F34" i="13" s="1"/>
  <c r="A45" i="3"/>
  <c r="A9" i="8"/>
  <c r="C115" i="1"/>
  <c r="C114" i="1"/>
  <c r="C112" i="1"/>
  <c r="C110" i="1"/>
  <c r="C109" i="1"/>
  <c r="Z67" i="1"/>
  <c r="Y67" i="1"/>
  <c r="Z61" i="1"/>
  <c r="Y61" i="1"/>
  <c r="C29" i="7"/>
  <c r="D29" i="7"/>
  <c r="E29" i="7"/>
  <c r="G29" i="7"/>
  <c r="Y29" i="7"/>
  <c r="AI29" i="7"/>
  <c r="B29" i="7"/>
  <c r="J7" i="8"/>
  <c r="J8" i="8"/>
  <c r="J9" i="8"/>
  <c r="J10" i="8"/>
  <c r="J11" i="8"/>
  <c r="J12" i="8"/>
  <c r="J13" i="8"/>
  <c r="J14" i="8"/>
  <c r="J15" i="8"/>
  <c r="J16" i="8"/>
  <c r="J17" i="8"/>
  <c r="J28" i="8"/>
  <c r="J29" i="8"/>
  <c r="J6" i="8"/>
  <c r="H13" i="1"/>
  <c r="O28" i="17"/>
  <c r="U37" i="17"/>
  <c r="U27" i="17"/>
  <c r="U23" i="17"/>
  <c r="V31" i="17"/>
  <c r="V37" i="17"/>
  <c r="O38" i="17"/>
  <c r="U26" i="17"/>
  <c r="U34" i="17"/>
  <c r="U42" i="17"/>
  <c r="O26" i="17"/>
  <c r="V28" i="17"/>
  <c r="V36" i="17"/>
  <c r="O40" i="17"/>
  <c r="O22" i="17"/>
  <c r="B18" i="3"/>
  <c r="O37" i="17"/>
  <c r="O29" i="17"/>
  <c r="U22" i="17"/>
  <c r="O35" i="17"/>
  <c r="V38" i="17"/>
  <c r="W38" i="17" s="1"/>
  <c r="V30" i="17"/>
  <c r="O39" i="17"/>
  <c r="U36" i="17"/>
  <c r="U28" i="17"/>
  <c r="W28" i="17" s="1"/>
  <c r="O32" i="17"/>
  <c r="V39" i="17"/>
  <c r="V33" i="17"/>
  <c r="U25" i="17"/>
  <c r="U35" i="17"/>
  <c r="O36" i="17"/>
  <c r="U39" i="17"/>
  <c r="U33" i="17"/>
  <c r="W33" i="17" s="1"/>
  <c r="O25" i="17"/>
  <c r="O30" i="17"/>
  <c r="V40" i="17"/>
  <c r="V32" i="17"/>
  <c r="U24" i="17"/>
  <c r="W24" i="17" s="1"/>
  <c r="O34" i="17"/>
  <c r="U38" i="17"/>
  <c r="U30" i="17"/>
  <c r="V23" i="17"/>
  <c r="W23" i="17" s="1"/>
  <c r="V41" i="17"/>
  <c r="V27" i="17"/>
  <c r="W27" i="17" s="1"/>
  <c r="O42" i="17"/>
  <c r="O31" i="17"/>
  <c r="V24" i="17"/>
  <c r="O33" i="17"/>
  <c r="O41" i="17"/>
  <c r="O27" i="17"/>
  <c r="V42" i="17"/>
  <c r="V34" i="17"/>
  <c r="V26" i="17"/>
  <c r="W26" i="17" s="1"/>
  <c r="U40" i="17"/>
  <c r="U32" i="17"/>
  <c r="V25" i="17"/>
  <c r="V22" i="17"/>
  <c r="W22" i="17" s="1"/>
  <c r="N2" i="21" s="1"/>
  <c r="V35" i="17"/>
  <c r="V29" i="17"/>
  <c r="O24" i="17"/>
  <c r="U31" i="17"/>
  <c r="U29" i="17"/>
  <c r="U41" i="17"/>
  <c r="W41" i="17" s="1"/>
  <c r="G110" i="1"/>
  <c r="A59" i="13" s="1"/>
  <c r="F113" i="1"/>
  <c r="A48" i="3"/>
  <c r="A30" i="8"/>
  <c r="A39" i="13"/>
  <c r="B6" i="4"/>
  <c r="C24" i="1" s="1"/>
  <c r="AB34" i="1" s="1"/>
  <c r="F112" i="1"/>
  <c r="A65" i="3" s="1"/>
  <c r="A59" i="3"/>
  <c r="J51" i="10"/>
  <c r="J50" i="10"/>
  <c r="J52" i="10"/>
  <c r="M14" i="10"/>
  <c r="M21" i="10"/>
  <c r="M15" i="10"/>
  <c r="M17" i="10"/>
  <c r="A38" i="8"/>
  <c r="M11" i="10"/>
  <c r="M23" i="10"/>
  <c r="M7" i="10"/>
  <c r="M6" i="10"/>
  <c r="M18" i="10"/>
  <c r="M13" i="10"/>
  <c r="M8" i="10"/>
  <c r="M16" i="10"/>
  <c r="M9" i="10"/>
  <c r="M12" i="10"/>
  <c r="M10" i="10"/>
  <c r="M25" i="10"/>
  <c r="M22" i="10"/>
  <c r="M19" i="10"/>
  <c r="M24" i="10"/>
  <c r="M26" i="10"/>
  <c r="M28" i="10"/>
  <c r="M20" i="10"/>
  <c r="L9" i="10"/>
  <c r="L11" i="10"/>
  <c r="L18" i="10"/>
  <c r="L12" i="10"/>
  <c r="L13" i="10"/>
  <c r="L28" i="10"/>
  <c r="L24" i="10"/>
  <c r="A41" i="8"/>
  <c r="D110" i="1"/>
  <c r="S18" i="8"/>
  <c r="S17" i="8"/>
  <c r="F12" i="4"/>
  <c r="V18" i="13"/>
  <c r="F15" i="4"/>
  <c r="U20" i="13"/>
  <c r="F24" i="4"/>
  <c r="U16" i="13"/>
  <c r="F23" i="4"/>
  <c r="V22" i="13"/>
  <c r="T20" i="8"/>
  <c r="S11" i="8"/>
  <c r="U24" i="13"/>
  <c r="V7" i="13"/>
  <c r="L23" i="10"/>
  <c r="T15" i="8"/>
  <c r="T18" i="8"/>
  <c r="T7" i="8"/>
  <c r="T17" i="8"/>
  <c r="S22" i="8"/>
  <c r="S12" i="8"/>
  <c r="A42" i="4"/>
  <c r="S29" i="8"/>
  <c r="F19" i="4"/>
  <c r="V26" i="13"/>
  <c r="V12" i="13"/>
  <c r="E20" i="4"/>
  <c r="U21" i="13"/>
  <c r="U10" i="13"/>
  <c r="F26" i="4"/>
  <c r="E13" i="4"/>
  <c r="U15" i="13"/>
  <c r="U26" i="13"/>
  <c r="E28" i="4"/>
  <c r="T24" i="8"/>
  <c r="L19" i="10"/>
  <c r="L15" i="10"/>
  <c r="L20" i="10"/>
  <c r="T21" i="8"/>
  <c r="S24" i="8"/>
  <c r="S26" i="8"/>
  <c r="S20" i="8"/>
  <c r="F21" i="4"/>
  <c r="U29" i="13"/>
  <c r="U25" i="13"/>
  <c r="F28" i="4"/>
  <c r="E24" i="4"/>
  <c r="V11" i="13"/>
  <c r="F29" i="4"/>
  <c r="E14" i="4"/>
  <c r="V16" i="13"/>
  <c r="U12" i="13"/>
  <c r="E21" i="4"/>
  <c r="F18" i="4"/>
  <c r="E29" i="4"/>
  <c r="U23" i="13"/>
  <c r="T26" i="8"/>
  <c r="T13" i="8"/>
  <c r="L6" i="10"/>
  <c r="S21" i="8"/>
  <c r="S13" i="8"/>
  <c r="V15" i="13"/>
  <c r="V20" i="13"/>
  <c r="E18" i="4"/>
  <c r="E12" i="4"/>
  <c r="V8" i="13"/>
  <c r="T23" i="8"/>
  <c r="L17" i="10"/>
  <c r="T25" i="8"/>
  <c r="T19" i="8"/>
  <c r="L26" i="10"/>
  <c r="T11" i="8"/>
  <c r="L25" i="10"/>
  <c r="T12" i="8"/>
  <c r="S10" i="8"/>
  <c r="S6" i="8"/>
  <c r="S14" i="8"/>
  <c r="F7" i="4"/>
  <c r="V24" i="13"/>
  <c r="E16" i="4"/>
  <c r="U8" i="13"/>
  <c r="F22" i="4"/>
  <c r="U11" i="13"/>
  <c r="V19" i="13"/>
  <c r="F10" i="4"/>
  <c r="E25" i="4"/>
  <c r="E7" i="4"/>
  <c r="L14" i="10"/>
  <c r="T8" i="8"/>
  <c r="S15" i="8"/>
  <c r="F8" i="4"/>
  <c r="F6" i="4"/>
  <c r="E9" i="4"/>
  <c r="V13" i="13"/>
  <c r="F25" i="4"/>
  <c r="L21" i="10"/>
  <c r="L8" i="10"/>
  <c r="T22" i="8"/>
  <c r="L7" i="10"/>
  <c r="T14" i="8"/>
  <c r="S28" i="8"/>
  <c r="S25" i="8"/>
  <c r="S7" i="8"/>
  <c r="V9" i="13"/>
  <c r="F17" i="4"/>
  <c r="E11" i="4"/>
  <c r="V14" i="13"/>
  <c r="U28" i="13"/>
  <c r="E22" i="4"/>
  <c r="U13" i="13"/>
  <c r="F14" i="4"/>
  <c r="U19" i="13"/>
  <c r="E19" i="4"/>
  <c r="F11" i="4"/>
  <c r="V17" i="13"/>
  <c r="T10" i="8"/>
  <c r="L10" i="10"/>
  <c r="L16" i="10"/>
  <c r="T9" i="8"/>
  <c r="L22" i="10"/>
  <c r="S23" i="8"/>
  <c r="S8" i="8"/>
  <c r="U22" i="13"/>
  <c r="V21" i="13"/>
  <c r="U18" i="13"/>
  <c r="U7" i="13"/>
  <c r="E26" i="4"/>
  <c r="F13" i="4"/>
  <c r="F20" i="4"/>
  <c r="U6" i="13"/>
  <c r="T6" i="8"/>
  <c r="T28" i="8"/>
  <c r="T29" i="8"/>
  <c r="S9" i="8"/>
  <c r="A59" i="4"/>
  <c r="E17" i="4"/>
  <c r="U17" i="13"/>
  <c r="V6" i="13"/>
  <c r="V28" i="13"/>
  <c r="E23" i="4"/>
  <c r="S16" i="8"/>
  <c r="V23" i="13"/>
  <c r="V29" i="13"/>
  <c r="U9" i="13"/>
  <c r="T16" i="8"/>
  <c r="S19" i="8"/>
  <c r="F16" i="4"/>
  <c r="F9" i="4"/>
  <c r="V10" i="13"/>
  <c r="V25" i="13"/>
  <c r="U14" i="13"/>
  <c r="E8" i="4"/>
  <c r="E15" i="4"/>
  <c r="E10" i="4"/>
  <c r="E6" i="4"/>
  <c r="W35" i="17" l="1"/>
  <c r="W31" i="17"/>
  <c r="B24" i="13"/>
  <c r="B33" i="4"/>
  <c r="W42" i="17"/>
  <c r="W40" i="17"/>
  <c r="W25" i="17"/>
  <c r="G21" i="8"/>
  <c r="W29" i="17"/>
  <c r="W34" i="17"/>
  <c r="W30" i="17"/>
  <c r="B21" i="13"/>
  <c r="G8" i="8"/>
  <c r="G18" i="8"/>
  <c r="G17" i="8"/>
  <c r="I6" i="8"/>
  <c r="G23" i="8"/>
  <c r="G15" i="8"/>
  <c r="G10" i="8"/>
  <c r="G22" i="8"/>
  <c r="I29" i="8"/>
  <c r="G29" i="8"/>
  <c r="G9" i="8"/>
  <c r="R10" i="3"/>
  <c r="T21" i="3"/>
  <c r="R19" i="3"/>
  <c r="R28" i="3"/>
  <c r="T10" i="3"/>
  <c r="G11" i="8"/>
  <c r="G12" i="8"/>
  <c r="G16" i="8"/>
  <c r="G20" i="8"/>
  <c r="G13" i="8"/>
  <c r="R15" i="3"/>
  <c r="N13" i="8"/>
  <c r="T24" i="3"/>
  <c r="T6" i="3"/>
  <c r="T19" i="3"/>
  <c r="T20" i="3"/>
  <c r="M12" i="8"/>
  <c r="Q12" i="8" s="1"/>
  <c r="M17" i="8"/>
  <c r="T16" i="3"/>
  <c r="M9" i="8"/>
  <c r="N10" i="8"/>
  <c r="O10" i="8" s="1"/>
  <c r="P10" i="8" s="1"/>
  <c r="R18" i="3"/>
  <c r="N6" i="8"/>
  <c r="O6" i="8" s="1"/>
  <c r="P6" i="8" s="1"/>
  <c r="R14" i="3"/>
  <c r="G28" i="8"/>
  <c r="G25" i="8"/>
  <c r="G26" i="8"/>
  <c r="G24" i="8"/>
  <c r="G6" i="8"/>
  <c r="G19" i="8"/>
  <c r="G7" i="8"/>
  <c r="C63" i="1"/>
  <c r="AB46" i="1" s="1"/>
  <c r="G14" i="8"/>
  <c r="T9" i="3"/>
  <c r="R17" i="3"/>
  <c r="R26" i="3"/>
  <c r="T11" i="3"/>
  <c r="R22" i="3"/>
  <c r="R23" i="3"/>
  <c r="R11" i="3"/>
  <c r="B6" i="13"/>
  <c r="T25" i="3"/>
  <c r="T14" i="3"/>
  <c r="T13" i="3"/>
  <c r="T12" i="3"/>
  <c r="B21" i="3"/>
  <c r="W36" i="17"/>
  <c r="B104" i="1"/>
  <c r="T8" i="3"/>
  <c r="R20" i="3"/>
  <c r="R13" i="3"/>
  <c r="T15" i="3"/>
  <c r="R8" i="3"/>
  <c r="T26" i="3"/>
  <c r="R24" i="3"/>
  <c r="T29" i="3"/>
  <c r="R29" i="3"/>
  <c r="T18" i="3"/>
  <c r="W32" i="17"/>
  <c r="W39" i="17"/>
  <c r="R7" i="3"/>
  <c r="R16" i="3"/>
  <c r="R6" i="3"/>
  <c r="R12" i="3"/>
  <c r="T22" i="3"/>
  <c r="R21" i="3"/>
  <c r="R9" i="3"/>
  <c r="T28" i="3"/>
  <c r="T17" i="3"/>
  <c r="T23" i="3"/>
  <c r="R25" i="3"/>
  <c r="T7" i="3"/>
  <c r="W37" i="17"/>
  <c r="Q35" i="17"/>
  <c r="Q42" i="17"/>
  <c r="O13" i="8"/>
  <c r="P13" i="8" s="1"/>
  <c r="C66" i="1"/>
  <c r="AB37" i="1" s="1"/>
  <c r="N9" i="8"/>
  <c r="O9" i="8" s="1"/>
  <c r="P9" i="8" s="1"/>
  <c r="N19" i="8"/>
  <c r="O19" i="8" s="1"/>
  <c r="P19" i="8" s="1"/>
  <c r="M10" i="8"/>
  <c r="I12" i="8"/>
  <c r="Q22" i="17"/>
  <c r="B12" i="13"/>
  <c r="E10" i="8"/>
  <c r="E22" i="8"/>
  <c r="E6" i="8"/>
  <c r="E17" i="8"/>
  <c r="E16" i="8"/>
  <c r="E9" i="8"/>
  <c r="E20" i="8"/>
  <c r="E21" i="8"/>
  <c r="Q28" i="17"/>
  <c r="D7" i="19"/>
  <c r="I8" i="8"/>
  <c r="I23" i="8"/>
  <c r="J23" i="8" s="1"/>
  <c r="Q30" i="17"/>
  <c r="Q40" i="17"/>
  <c r="Q32" i="17"/>
  <c r="Q33" i="17"/>
  <c r="Q41" i="17"/>
  <c r="Q25" i="17"/>
  <c r="Q36" i="17"/>
  <c r="F8" i="8"/>
  <c r="I16" i="8"/>
  <c r="I15" i="8"/>
  <c r="I19" i="8"/>
  <c r="J19" i="8" s="1"/>
  <c r="Q23" i="17"/>
  <c r="Q34" i="17"/>
  <c r="Q27" i="17"/>
  <c r="Q39" i="17"/>
  <c r="Q38" i="17"/>
  <c r="Q29" i="17"/>
  <c r="R29" i="17" s="1"/>
  <c r="S29" i="17" s="1"/>
  <c r="E19" i="19" s="1"/>
  <c r="Q31" i="17"/>
  <c r="Q24" i="17"/>
  <c r="Q26" i="17"/>
  <c r="A54" i="4"/>
  <c r="I11" i="8"/>
  <c r="I13" i="8"/>
  <c r="B32" i="13"/>
  <c r="M19" i="8"/>
  <c r="P33" i="17"/>
  <c r="F9" i="8"/>
  <c r="F24" i="8"/>
  <c r="N20" i="8"/>
  <c r="O20" i="8" s="1"/>
  <c r="P20" i="8" s="1"/>
  <c r="E25" i="8"/>
  <c r="E12" i="8"/>
  <c r="E15" i="8"/>
  <c r="M21" i="8"/>
  <c r="M25" i="8"/>
  <c r="M11" i="8"/>
  <c r="M29" i="8"/>
  <c r="AB27" i="1"/>
  <c r="F17" i="8"/>
  <c r="N24" i="8"/>
  <c r="O24" i="8" s="1"/>
  <c r="P24" i="8" s="1"/>
  <c r="E13" i="8"/>
  <c r="F28" i="8"/>
  <c r="E8" i="8"/>
  <c r="P31" i="17"/>
  <c r="M20" i="8"/>
  <c r="N29" i="8"/>
  <c r="P35" i="17"/>
  <c r="R35" i="17" s="1"/>
  <c r="S35" i="17" s="1"/>
  <c r="H25" i="19" s="1"/>
  <c r="P22" i="17"/>
  <c r="P40" i="17"/>
  <c r="P38" i="17"/>
  <c r="P36" i="17"/>
  <c r="P27" i="17"/>
  <c r="P23" i="17"/>
  <c r="P30" i="17"/>
  <c r="P42" i="17"/>
  <c r="R42" i="17" s="1"/>
  <c r="S42" i="17" s="1"/>
  <c r="P41" i="17"/>
  <c r="P37" i="17"/>
  <c r="R37" i="17" s="1"/>
  <c r="S37" i="17" s="1"/>
  <c r="H27" i="19" s="1"/>
  <c r="B9" i="13"/>
  <c r="F15" i="8"/>
  <c r="F26" i="8"/>
  <c r="F25" i="8"/>
  <c r="F11" i="8"/>
  <c r="F13" i="8"/>
  <c r="O12" i="8"/>
  <c r="P12" i="8" s="1"/>
  <c r="F7" i="8"/>
  <c r="F10" i="8"/>
  <c r="F21" i="8"/>
  <c r="F18" i="8"/>
  <c r="A51" i="3"/>
  <c r="I17" i="8"/>
  <c r="I26" i="8"/>
  <c r="J26" i="8" s="1"/>
  <c r="I7" i="8"/>
  <c r="I20" i="8"/>
  <c r="J20" i="8" s="1"/>
  <c r="I22" i="8"/>
  <c r="J22" i="8" s="1"/>
  <c r="I10" i="8"/>
  <c r="I21" i="8"/>
  <c r="J21" i="8" s="1"/>
  <c r="I18" i="8"/>
  <c r="J18" i="8" s="1"/>
  <c r="I14" i="8"/>
  <c r="I24" i="8"/>
  <c r="J24" i="8" s="1"/>
  <c r="I25" i="8"/>
  <c r="J25" i="8" s="1"/>
  <c r="I9" i="8"/>
  <c r="I28" i="8"/>
  <c r="AB49" i="1"/>
  <c r="AB35" i="1"/>
  <c r="AB44" i="1"/>
  <c r="AB24" i="1"/>
  <c r="M26" i="8"/>
  <c r="M6" i="8"/>
  <c r="M15" i="8"/>
  <c r="M18" i="8"/>
  <c r="N21" i="8"/>
  <c r="M23" i="8"/>
  <c r="E26" i="8"/>
  <c r="E19" i="8"/>
  <c r="E11" i="8"/>
  <c r="E7" i="8"/>
  <c r="M16" i="8"/>
  <c r="M22" i="8"/>
  <c r="F20" i="8"/>
  <c r="F29" i="8"/>
  <c r="E29" i="8"/>
  <c r="E18" i="8"/>
  <c r="N25" i="8"/>
  <c r="M7" i="8"/>
  <c r="N14" i="8"/>
  <c r="O14" i="8" s="1"/>
  <c r="P14" i="8" s="1"/>
  <c r="M28" i="8"/>
  <c r="M8" i="8"/>
  <c r="F6" i="8"/>
  <c r="F19" i="8"/>
  <c r="N11" i="8"/>
  <c r="O11" i="8" s="1"/>
  <c r="P11" i="8" s="1"/>
  <c r="N18" i="8"/>
  <c r="O18" i="8" s="1"/>
  <c r="P18" i="8" s="1"/>
  <c r="N17" i="8"/>
  <c r="N26" i="8"/>
  <c r="O26" i="8" s="1"/>
  <c r="P26" i="8" s="1"/>
  <c r="E14" i="8"/>
  <c r="N23" i="8"/>
  <c r="O23" i="8" s="1"/>
  <c r="P23" i="8" s="1"/>
  <c r="M13" i="8"/>
  <c r="N7" i="8"/>
  <c r="O7" i="8" s="1"/>
  <c r="P7" i="8" s="1"/>
  <c r="N28" i="8"/>
  <c r="O28" i="8" s="1"/>
  <c r="P28" i="8" s="1"/>
  <c r="M24" i="8"/>
  <c r="E24" i="8"/>
  <c r="E28" i="8"/>
  <c r="E23" i="8"/>
  <c r="N8" i="8"/>
  <c r="O8" i="8" s="1"/>
  <c r="P8" i="8" s="1"/>
  <c r="N15" i="8"/>
  <c r="O15" i="8" s="1"/>
  <c r="P15" i="8" s="1"/>
  <c r="M14" i="8"/>
  <c r="F12" i="8"/>
  <c r="F14" i="8"/>
  <c r="F22" i="8"/>
  <c r="F23" i="8"/>
  <c r="F16" i="8"/>
  <c r="B6" i="8"/>
  <c r="N16" i="8"/>
  <c r="O16" i="8" s="1"/>
  <c r="P16" i="8" s="1"/>
  <c r="N22" i="8"/>
  <c r="O22" i="8" s="1"/>
  <c r="P22" i="8" s="1"/>
  <c r="A62" i="3"/>
  <c r="F116" i="1"/>
  <c r="A74" i="3" s="1"/>
  <c r="F114" i="1" s="1"/>
  <c r="A68" i="3" s="1"/>
  <c r="P25" i="17"/>
  <c r="R25" i="17" s="1"/>
  <c r="S25" i="17" s="1"/>
  <c r="E15" i="19" s="1"/>
  <c r="P26" i="17"/>
  <c r="P39" i="17"/>
  <c r="P32" i="17"/>
  <c r="P34" i="17"/>
  <c r="P24" i="17"/>
  <c r="R24" i="17" s="1"/>
  <c r="S24" i="17" s="1"/>
  <c r="E14" i="19" s="1"/>
  <c r="P28" i="17"/>
  <c r="AB42" i="1"/>
  <c r="AB28" i="1"/>
  <c r="AB48" i="1"/>
  <c r="AB32" i="1"/>
  <c r="AB41" i="1"/>
  <c r="AB43" i="1"/>
  <c r="AB23" i="1"/>
  <c r="AB26" i="1"/>
  <c r="AB33" i="1"/>
  <c r="C111" i="1"/>
  <c r="E111" i="1" s="1"/>
  <c r="H23" i="8"/>
  <c r="H11" i="8"/>
  <c r="K11" i="8" s="1"/>
  <c r="H24" i="8"/>
  <c r="H14" i="8"/>
  <c r="K14" i="8" s="1"/>
  <c r="H21" i="8"/>
  <c r="H29" i="8"/>
  <c r="K29" i="8" s="1"/>
  <c r="H9" i="8"/>
  <c r="K9" i="8" s="1"/>
  <c r="H10" i="8"/>
  <c r="K10" i="8" s="1"/>
  <c r="H20" i="8"/>
  <c r="H25" i="8"/>
  <c r="H28" i="8"/>
  <c r="H7" i="8"/>
  <c r="K7" i="8" s="1"/>
  <c r="H18" i="8"/>
  <c r="H6" i="8"/>
  <c r="B86" i="1"/>
  <c r="C86" i="1" s="1"/>
  <c r="B37" i="8" s="1"/>
  <c r="H12" i="8"/>
  <c r="K12" i="8" s="1"/>
  <c r="H16" i="8"/>
  <c r="K16" i="8" s="1"/>
  <c r="H15" i="8"/>
  <c r="K15" i="8" s="1"/>
  <c r="H26" i="8"/>
  <c r="H8" i="8"/>
  <c r="K8" i="8" s="1"/>
  <c r="H13" i="8"/>
  <c r="H17" i="8"/>
  <c r="K17" i="8" s="1"/>
  <c r="H19" i="8"/>
  <c r="H22" i="8"/>
  <c r="A56" i="3"/>
  <c r="Y28" i="3"/>
  <c r="Y16" i="3"/>
  <c r="Y9" i="3"/>
  <c r="Y7" i="3"/>
  <c r="Y14" i="3"/>
  <c r="Y11" i="3"/>
  <c r="Y6" i="3"/>
  <c r="Y22" i="3"/>
  <c r="Y8" i="3"/>
  <c r="Y24" i="3"/>
  <c r="Y17" i="3"/>
  <c r="Y10" i="3"/>
  <c r="Y19" i="3"/>
  <c r="Y26" i="3"/>
  <c r="Y15" i="3"/>
  <c r="Y25" i="3"/>
  <c r="Y20" i="3"/>
  <c r="Y13" i="3"/>
  <c r="Y12" i="3"/>
  <c r="Y23" i="3"/>
  <c r="Y18" i="3"/>
  <c r="Y29" i="3"/>
  <c r="Y21" i="3"/>
  <c r="Q19" i="8" l="1"/>
  <c r="Q10" i="8"/>
  <c r="K6" i="8"/>
  <c r="L6" i="8" s="1"/>
  <c r="R12" i="8"/>
  <c r="K28" i="8"/>
  <c r="L28" i="8" s="1"/>
  <c r="K26" i="8"/>
  <c r="K24" i="8"/>
  <c r="R40" i="17"/>
  <c r="S40" i="17" s="1"/>
  <c r="H30" i="19" s="1"/>
  <c r="Q9" i="8"/>
  <c r="K13" i="8"/>
  <c r="L13" i="8" s="1"/>
  <c r="R9" i="8"/>
  <c r="AB31" i="1"/>
  <c r="AC26" i="1" s="1"/>
  <c r="R10" i="8"/>
  <c r="R34" i="17"/>
  <c r="S34" i="17" s="1"/>
  <c r="E24" i="19" s="1"/>
  <c r="R20" i="8"/>
  <c r="D30" i="19"/>
  <c r="R19" i="8"/>
  <c r="K23" i="8"/>
  <c r="L23" i="8" s="1"/>
  <c r="K19" i="8"/>
  <c r="L19" i="8" s="1"/>
  <c r="L8" i="8"/>
  <c r="R11" i="8"/>
  <c r="Q29" i="8"/>
  <c r="R28" i="17"/>
  <c r="S28" i="17" s="1"/>
  <c r="F18" i="19" s="1"/>
  <c r="R36" i="17"/>
  <c r="S36" i="17" s="1"/>
  <c r="D26" i="19" s="1"/>
  <c r="R32" i="17"/>
  <c r="S32" i="17" s="1"/>
  <c r="E22" i="19" s="1"/>
  <c r="D25" i="19"/>
  <c r="R39" i="17"/>
  <c r="S39" i="17" s="1"/>
  <c r="E29" i="19" s="1"/>
  <c r="R38" i="17"/>
  <c r="S38" i="17" s="1"/>
  <c r="F28" i="19" s="1"/>
  <c r="R33" i="17"/>
  <c r="S33" i="17" s="1"/>
  <c r="F23" i="19" s="1"/>
  <c r="R23" i="17"/>
  <c r="S23" i="17" s="1"/>
  <c r="E35" i="19" s="1"/>
  <c r="R26" i="17"/>
  <c r="S26" i="17" s="1"/>
  <c r="E16" i="19" s="1"/>
  <c r="R27" i="17"/>
  <c r="S27" i="17" s="1"/>
  <c r="F17" i="19" s="1"/>
  <c r="Q22" i="3"/>
  <c r="U22" i="3" s="1"/>
  <c r="Q14" i="3"/>
  <c r="S14" i="3" s="1"/>
  <c r="Q15" i="3"/>
  <c r="S15" i="3" s="1"/>
  <c r="Q19" i="3"/>
  <c r="U19" i="3" s="1"/>
  <c r="Q7" i="3"/>
  <c r="U7" i="3" s="1"/>
  <c r="Q9" i="3"/>
  <c r="U9" i="3" s="1"/>
  <c r="Q26" i="3"/>
  <c r="S26" i="3" s="1"/>
  <c r="Q29" i="3"/>
  <c r="S29" i="3" s="1"/>
  <c r="Q13" i="3"/>
  <c r="U13" i="3" s="1"/>
  <c r="Q24" i="3"/>
  <c r="S24" i="3" s="1"/>
  <c r="Q28" i="3"/>
  <c r="S28" i="3" s="1"/>
  <c r="Q8" i="3"/>
  <c r="S8" i="3" s="1"/>
  <c r="Q16" i="3"/>
  <c r="S16" i="3" s="1"/>
  <c r="Q17" i="3"/>
  <c r="U17" i="3" s="1"/>
  <c r="Q23" i="3"/>
  <c r="S23" i="3" s="1"/>
  <c r="Q11" i="3"/>
  <c r="S11" i="3" s="1"/>
  <c r="Q10" i="3"/>
  <c r="S10" i="3" s="1"/>
  <c r="Q20" i="3"/>
  <c r="S20" i="3" s="1"/>
  <c r="Q21" i="3"/>
  <c r="U21" i="3" s="1"/>
  <c r="Q18" i="3"/>
  <c r="U18" i="3" s="1"/>
  <c r="Q25" i="3"/>
  <c r="U25" i="3" s="1"/>
  <c r="Q12" i="3"/>
  <c r="S12" i="3" s="1"/>
  <c r="Q6" i="3"/>
  <c r="U6" i="3" s="1"/>
  <c r="K22" i="8"/>
  <c r="L22" i="8" s="1"/>
  <c r="L15" i="8"/>
  <c r="K25" i="8"/>
  <c r="L25" i="8" s="1"/>
  <c r="L11" i="8"/>
  <c r="R22" i="17"/>
  <c r="S22" i="17" s="1"/>
  <c r="D12" i="19" s="1"/>
  <c r="R31" i="17"/>
  <c r="S31" i="17" s="1"/>
  <c r="H21" i="19" s="1"/>
  <c r="F25" i="19"/>
  <c r="G25" i="19"/>
  <c r="R41" i="17"/>
  <c r="S41" i="17" s="1"/>
  <c r="R30" i="17"/>
  <c r="S30" i="17" s="1"/>
  <c r="AC48" i="1"/>
  <c r="L9" i="8"/>
  <c r="O29" i="8"/>
  <c r="P29" i="8" s="1"/>
  <c r="R29" i="8" s="1"/>
  <c r="L16" i="8"/>
  <c r="E25" i="19"/>
  <c r="D27" i="19"/>
  <c r="Q20" i="8"/>
  <c r="G32" i="19"/>
  <c r="H32" i="19"/>
  <c r="E27" i="19"/>
  <c r="F27" i="19"/>
  <c r="G19" i="19"/>
  <c r="G27" i="19"/>
  <c r="L24" i="8"/>
  <c r="D19" i="19"/>
  <c r="F15" i="19"/>
  <c r="L26" i="8"/>
  <c r="L17" i="8"/>
  <c r="K18" i="8"/>
  <c r="L18" i="8" s="1"/>
  <c r="K20" i="8"/>
  <c r="L20" i="8" s="1"/>
  <c r="K21" i="8"/>
  <c r="L21" i="8" s="1"/>
  <c r="L10" i="8"/>
  <c r="E32" i="19"/>
  <c r="F14" i="19"/>
  <c r="F19" i="19"/>
  <c r="H19" i="19"/>
  <c r="D32" i="19"/>
  <c r="F32" i="19"/>
  <c r="R13" i="8"/>
  <c r="Q13" i="8"/>
  <c r="Q17" i="8"/>
  <c r="O17" i="8"/>
  <c r="P17" i="8" s="1"/>
  <c r="R17" i="8" s="1"/>
  <c r="Q7" i="8"/>
  <c r="R7" i="8"/>
  <c r="R23" i="8"/>
  <c r="Q23" i="8"/>
  <c r="R6" i="8"/>
  <c r="Q6" i="8"/>
  <c r="L12" i="8"/>
  <c r="L7" i="8"/>
  <c r="L14" i="8"/>
  <c r="R24" i="8"/>
  <c r="Q24" i="8"/>
  <c r="Q8" i="8"/>
  <c r="R8" i="8"/>
  <c r="O25" i="8"/>
  <c r="P25" i="8" s="1"/>
  <c r="R25" i="8" s="1"/>
  <c r="Q25" i="8"/>
  <c r="O21" i="8"/>
  <c r="P21" i="8" s="1"/>
  <c r="R21" i="8" s="1"/>
  <c r="Q21" i="8"/>
  <c r="R26" i="8"/>
  <c r="Q26" i="8"/>
  <c r="D14" i="19"/>
  <c r="G14" i="19"/>
  <c r="H14" i="19"/>
  <c r="R28" i="8"/>
  <c r="Q28" i="8"/>
  <c r="Q22" i="8"/>
  <c r="R22" i="8"/>
  <c r="Q18" i="8"/>
  <c r="R18" i="8"/>
  <c r="Q11" i="8"/>
  <c r="L29" i="8"/>
  <c r="G24" i="19"/>
  <c r="G15" i="19"/>
  <c r="H15" i="19"/>
  <c r="D15" i="19"/>
  <c r="Q14" i="8"/>
  <c r="R14" i="8"/>
  <c r="R16" i="8"/>
  <c r="Q16" i="8"/>
  <c r="Q15" i="8"/>
  <c r="R15" i="8"/>
  <c r="AC32" i="1"/>
  <c r="AC23" i="1"/>
  <c r="AC41" i="1"/>
  <c r="AB52" i="1" l="1"/>
  <c r="E26" i="19"/>
  <c r="E30" i="19"/>
  <c r="G30" i="19"/>
  <c r="H26" i="19"/>
  <c r="F30" i="19"/>
  <c r="F29" i="19"/>
  <c r="F35" i="19"/>
  <c r="H24" i="19"/>
  <c r="F26" i="19"/>
  <c r="D24" i="19"/>
  <c r="F24" i="19"/>
  <c r="F22" i="19"/>
  <c r="G26" i="19"/>
  <c r="D22" i="19"/>
  <c r="H22" i="19"/>
  <c r="D18" i="19"/>
  <c r="D13" i="19"/>
  <c r="F13" i="19"/>
  <c r="H29" i="19"/>
  <c r="G18" i="19"/>
  <c r="G29" i="19"/>
  <c r="H18" i="19"/>
  <c r="E18" i="19"/>
  <c r="D29" i="19"/>
  <c r="G22" i="19"/>
  <c r="S6" i="3"/>
  <c r="W6" i="3" s="1"/>
  <c r="U11" i="3"/>
  <c r="W11" i="3" s="1"/>
  <c r="U8" i="3"/>
  <c r="W8" i="3" s="1"/>
  <c r="X8" i="3" s="1"/>
  <c r="U12" i="3"/>
  <c r="W12" i="3" s="1"/>
  <c r="U20" i="3"/>
  <c r="W20" i="3" s="1"/>
  <c r="Z20" i="3" s="1"/>
  <c r="S13" i="3"/>
  <c r="W13" i="3" s="1"/>
  <c r="Z13" i="3" s="1"/>
  <c r="H30" i="1" s="1"/>
  <c r="L30" i="1" s="1"/>
  <c r="S7" i="3"/>
  <c r="W7" i="3" s="1"/>
  <c r="X7" i="3" s="1"/>
  <c r="U23" i="3"/>
  <c r="W23" i="3" s="1"/>
  <c r="Z23" i="3" s="1"/>
  <c r="H40" i="1" s="1"/>
  <c r="L40" i="1" s="1"/>
  <c r="S19" i="3"/>
  <c r="W19" i="3" s="1"/>
  <c r="X19" i="3" s="1"/>
  <c r="U29" i="3"/>
  <c r="W29" i="3" s="1"/>
  <c r="X29" i="3" s="1"/>
  <c r="F16" i="19"/>
  <c r="U28" i="3"/>
  <c r="W28" i="3" s="1"/>
  <c r="X28" i="3" s="1"/>
  <c r="G16" i="19"/>
  <c r="E12" i="19"/>
  <c r="S21" i="3"/>
  <c r="W21" i="3" s="1"/>
  <c r="Z21" i="3" s="1"/>
  <c r="H38" i="1" s="1"/>
  <c r="L38" i="1" s="1"/>
  <c r="S17" i="3"/>
  <c r="W17" i="3" s="1"/>
  <c r="X17" i="3" s="1"/>
  <c r="S9" i="3"/>
  <c r="W9" i="3" s="1"/>
  <c r="Z9" i="3" s="1"/>
  <c r="U14" i="3"/>
  <c r="W14" i="3" s="1"/>
  <c r="X14" i="3" s="1"/>
  <c r="U24" i="3"/>
  <c r="W24" i="3" s="1"/>
  <c r="X24" i="3" s="1"/>
  <c r="U10" i="3"/>
  <c r="W10" i="3" s="1"/>
  <c r="X10" i="3" s="1"/>
  <c r="S18" i="3"/>
  <c r="W18" i="3" s="1"/>
  <c r="Z18" i="3" s="1"/>
  <c r="H35" i="1" s="1"/>
  <c r="L35" i="1" s="1"/>
  <c r="H16" i="19"/>
  <c r="S22" i="3"/>
  <c r="W22" i="3" s="1"/>
  <c r="Z22" i="3" s="1"/>
  <c r="H39" i="1" s="1"/>
  <c r="L39" i="1" s="1"/>
  <c r="U16" i="3"/>
  <c r="W16" i="3" s="1"/>
  <c r="Z16" i="3" s="1"/>
  <c r="H33" i="1" s="1"/>
  <c r="L33" i="1" s="1"/>
  <c r="U26" i="3"/>
  <c r="W26" i="3" s="1"/>
  <c r="X26" i="3" s="1"/>
  <c r="H13" i="19"/>
  <c r="G13" i="19"/>
  <c r="D16" i="19"/>
  <c r="U15" i="3"/>
  <c r="W15" i="3" s="1"/>
  <c r="X15" i="3" s="1"/>
  <c r="H35" i="19"/>
  <c r="E13" i="19"/>
  <c r="G35" i="19"/>
  <c r="D35" i="19"/>
  <c r="H17" i="19"/>
  <c r="D17" i="19"/>
  <c r="G17" i="19"/>
  <c r="E17" i="19"/>
  <c r="G23" i="19"/>
  <c r="H23" i="19"/>
  <c r="E23" i="19"/>
  <c r="D23" i="19"/>
  <c r="H28" i="19"/>
  <c r="D28" i="19"/>
  <c r="E28" i="19"/>
  <c r="G28" i="19"/>
  <c r="F21" i="19"/>
  <c r="E21" i="19"/>
  <c r="D21" i="19"/>
  <c r="S25" i="3"/>
  <c r="W25" i="3" s="1"/>
  <c r="Z25" i="3" s="1"/>
  <c r="H42" i="1" s="1"/>
  <c r="L42" i="1" s="1"/>
  <c r="G21" i="19"/>
  <c r="F20" i="19"/>
  <c r="D20" i="19"/>
  <c r="H20" i="19"/>
  <c r="G20" i="19"/>
  <c r="E20" i="19"/>
  <c r="G31" i="19"/>
  <c r="H31" i="19"/>
  <c r="E31" i="19"/>
  <c r="F31" i="19"/>
  <c r="D31" i="19"/>
  <c r="H12" i="19"/>
  <c r="E34" i="19"/>
  <c r="F12" i="19"/>
  <c r="G12" i="19"/>
  <c r="H34" i="19"/>
  <c r="D34" i="19"/>
  <c r="F34" i="19"/>
  <c r="G34" i="19"/>
  <c r="F46" i="1"/>
  <c r="I46" i="1" s="1"/>
  <c r="K18" i="1"/>
  <c r="F24" i="1"/>
  <c r="F26" i="1"/>
  <c r="F41" i="1"/>
  <c r="F32" i="1"/>
  <c r="F39" i="1"/>
  <c r="F23" i="1"/>
  <c r="F38" i="1"/>
  <c r="F43" i="1"/>
  <c r="F29" i="1"/>
  <c r="F42" i="1"/>
  <c r="F30" i="1"/>
  <c r="F35" i="1"/>
  <c r="F27" i="1"/>
  <c r="F36" i="1"/>
  <c r="F25" i="1"/>
  <c r="F33" i="1"/>
  <c r="F28" i="1"/>
  <c r="F34" i="1"/>
  <c r="F40" i="1"/>
  <c r="F31" i="1"/>
  <c r="F37" i="1"/>
  <c r="F45" i="1"/>
  <c r="G30" i="1" l="1"/>
  <c r="K30" i="1" s="1"/>
  <c r="Z14" i="3"/>
  <c r="G31" i="1" s="1"/>
  <c r="K31" i="1" s="1"/>
  <c r="G39" i="1"/>
  <c r="K39" i="1" s="1"/>
  <c r="Z29" i="3"/>
  <c r="H46" i="1" s="1"/>
  <c r="G38" i="1"/>
  <c r="K38" i="1" s="1"/>
  <c r="X22" i="3"/>
  <c r="X21" i="3"/>
  <c r="G33" i="1"/>
  <c r="K33" i="1" s="1"/>
  <c r="X13" i="3"/>
  <c r="X20" i="3"/>
  <c r="Z19" i="3"/>
  <c r="G36" i="1" s="1"/>
  <c r="K36" i="1" s="1"/>
  <c r="G42" i="1"/>
  <c r="K42" i="1" s="1"/>
  <c r="G35" i="1"/>
  <c r="K35" i="1" s="1"/>
  <c r="X23" i="3"/>
  <c r="Z17" i="3"/>
  <c r="H34" i="1" s="1"/>
  <c r="L34" i="1" s="1"/>
  <c r="X16" i="3"/>
  <c r="Z15" i="3"/>
  <c r="H32" i="1" s="1"/>
  <c r="L32" i="1" s="1"/>
  <c r="Z7" i="3"/>
  <c r="G24" i="1" s="1"/>
  <c r="K24" i="1" s="1"/>
  <c r="Z26" i="3"/>
  <c r="G43" i="1" s="1"/>
  <c r="K43" i="1" s="1"/>
  <c r="Z24" i="3"/>
  <c r="H41" i="1" s="1"/>
  <c r="L41" i="1" s="1"/>
  <c r="X18" i="3"/>
  <c r="X25" i="3"/>
  <c r="I45" i="1"/>
  <c r="M45" i="1" s="1"/>
  <c r="J45" i="1"/>
  <c r="Z10" i="3"/>
  <c r="G27" i="1" s="1"/>
  <c r="K27" i="1" s="1"/>
  <c r="G40" i="1"/>
  <c r="K40" i="1" s="1"/>
  <c r="X9" i="3"/>
  <c r="H36" i="1"/>
  <c r="L36" i="1" s="1"/>
  <c r="Z8" i="3"/>
  <c r="H25" i="1" s="1"/>
  <c r="L25" i="1" s="1"/>
  <c r="Z28" i="3"/>
  <c r="H45" i="1" s="1"/>
  <c r="L45" i="1" s="1"/>
  <c r="J40" i="1"/>
  <c r="I40" i="1"/>
  <c r="M40" i="1" s="1"/>
  <c r="I33" i="1"/>
  <c r="M33" i="1" s="1"/>
  <c r="J33" i="1"/>
  <c r="J30" i="1"/>
  <c r="I30" i="1"/>
  <c r="M30" i="1" s="1"/>
  <c r="I39" i="1"/>
  <c r="M39" i="1" s="1"/>
  <c r="J39" i="1"/>
  <c r="I26" i="1"/>
  <c r="M26" i="1" s="1"/>
  <c r="J26" i="1"/>
  <c r="J34" i="1"/>
  <c r="I34" i="1"/>
  <c r="M34" i="1" s="1"/>
  <c r="J28" i="1"/>
  <c r="I28" i="1"/>
  <c r="M28" i="1" s="1"/>
  <c r="I42" i="1"/>
  <c r="M42" i="1" s="1"/>
  <c r="J42" i="1"/>
  <c r="I23" i="1"/>
  <c r="M23" i="1" s="1"/>
  <c r="J23" i="1"/>
  <c r="J24" i="1"/>
  <c r="I24" i="1"/>
  <c r="M24" i="1" s="1"/>
  <c r="J36" i="1"/>
  <c r="I36" i="1"/>
  <c r="M36" i="1" s="1"/>
  <c r="I43" i="1"/>
  <c r="M43" i="1" s="1"/>
  <c r="J43" i="1"/>
  <c r="I41" i="1"/>
  <c r="M41" i="1" s="1"/>
  <c r="J41" i="1"/>
  <c r="I37" i="1"/>
  <c r="M37" i="1" s="1"/>
  <c r="J37" i="1"/>
  <c r="J27" i="1"/>
  <c r="I27" i="1"/>
  <c r="M27" i="1" s="1"/>
  <c r="I38" i="1"/>
  <c r="M38" i="1" s="1"/>
  <c r="J38" i="1"/>
  <c r="J31" i="1"/>
  <c r="I31" i="1"/>
  <c r="M31" i="1" s="1"/>
  <c r="J25" i="1"/>
  <c r="I25" i="1"/>
  <c r="M25" i="1" s="1"/>
  <c r="J35" i="1"/>
  <c r="I35" i="1"/>
  <c r="M35" i="1" s="1"/>
  <c r="J29" i="1"/>
  <c r="I29" i="1"/>
  <c r="M29" i="1" s="1"/>
  <c r="I32" i="1"/>
  <c r="M32" i="1" s="1"/>
  <c r="J32" i="1"/>
  <c r="G26" i="1"/>
  <c r="K26" i="1" s="1"/>
  <c r="H26" i="1"/>
  <c r="L26" i="1" s="1"/>
  <c r="Z12" i="3"/>
  <c r="X12" i="3"/>
  <c r="X6" i="3"/>
  <c r="Z6" i="3"/>
  <c r="H37" i="1"/>
  <c r="L37" i="1" s="1"/>
  <c r="G37" i="1"/>
  <c r="K37" i="1" s="1"/>
  <c r="Z11" i="3"/>
  <c r="X11" i="3"/>
  <c r="H24" i="1" l="1"/>
  <c r="L24" i="1" s="1"/>
  <c r="H31" i="1"/>
  <c r="L31" i="1" s="1"/>
  <c r="H43" i="1"/>
  <c r="L43" i="1" s="1"/>
  <c r="G46" i="1"/>
  <c r="G34" i="1"/>
  <c r="K34" i="1" s="1"/>
  <c r="G32" i="1"/>
  <c r="K32" i="1" s="1"/>
  <c r="G41" i="1"/>
  <c r="K41" i="1" s="1"/>
  <c r="H27" i="1"/>
  <c r="L27" i="1" s="1"/>
  <c r="G25" i="1"/>
  <c r="K25" i="1" s="1"/>
  <c r="G45" i="1"/>
  <c r="K45" i="1" s="1"/>
  <c r="H28" i="1"/>
  <c r="L28" i="1" s="1"/>
  <c r="G28" i="1"/>
  <c r="K28" i="1" s="1"/>
  <c r="H23" i="1"/>
  <c r="L23" i="1" s="1"/>
  <c r="G23" i="1"/>
  <c r="K23" i="1" s="1"/>
  <c r="G29" i="1"/>
  <c r="K29" i="1" s="1"/>
  <c r="H29" i="1"/>
  <c r="L2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1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See Sheet "Instructions" A$32 for comment</t>
        </r>
      </text>
    </comment>
    <comment ref="J2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See Sheet "Instructions" A$34 and Sheet "DSF" A$13 for comments</t>
        </r>
      </text>
    </comment>
  </commentList>
</comments>
</file>

<file path=xl/sharedStrings.xml><?xml version="1.0" encoding="utf-8"?>
<sst xmlns="http://schemas.openxmlformats.org/spreadsheetml/2006/main" count="1335" uniqueCount="806">
  <si>
    <t>M</t>
  </si>
  <si>
    <r>
      <t>R</t>
    </r>
    <r>
      <rPr>
        <b/>
        <i/>
        <vertAlign val="subscript"/>
        <sz val="10"/>
        <rFont val="Arial"/>
        <family val="2"/>
      </rPr>
      <t>RUP</t>
    </r>
  </si>
  <si>
    <r>
      <t>R</t>
    </r>
    <r>
      <rPr>
        <b/>
        <i/>
        <vertAlign val="subscript"/>
        <sz val="10"/>
        <rFont val="Arial"/>
        <family val="2"/>
      </rPr>
      <t>JB</t>
    </r>
  </si>
  <si>
    <r>
      <t>R</t>
    </r>
    <r>
      <rPr>
        <b/>
        <i/>
        <vertAlign val="subscript"/>
        <sz val="10"/>
        <rFont val="Arial"/>
        <family val="2"/>
      </rPr>
      <t>X</t>
    </r>
  </si>
  <si>
    <r>
      <t>F</t>
    </r>
    <r>
      <rPr>
        <b/>
        <i/>
        <vertAlign val="subscript"/>
        <sz val="10"/>
        <rFont val="Arial"/>
        <family val="2"/>
      </rPr>
      <t>RV</t>
    </r>
  </si>
  <si>
    <r>
      <t>F</t>
    </r>
    <r>
      <rPr>
        <b/>
        <i/>
        <vertAlign val="subscript"/>
        <sz val="10"/>
        <rFont val="Arial"/>
        <family val="2"/>
      </rPr>
      <t>NM</t>
    </r>
  </si>
  <si>
    <r>
      <t>Z</t>
    </r>
    <r>
      <rPr>
        <b/>
        <i/>
        <vertAlign val="subscript"/>
        <sz val="10"/>
        <rFont val="Arial"/>
        <family val="2"/>
      </rPr>
      <t>HYP</t>
    </r>
  </si>
  <si>
    <r>
      <t>Z</t>
    </r>
    <r>
      <rPr>
        <b/>
        <i/>
        <vertAlign val="subscript"/>
        <sz val="10"/>
        <rFont val="Arial"/>
        <family val="2"/>
      </rPr>
      <t>TOR</t>
    </r>
  </si>
  <si>
    <r>
      <t>Z</t>
    </r>
    <r>
      <rPr>
        <b/>
        <i/>
        <vertAlign val="subscript"/>
        <sz val="10"/>
        <rFont val="Arial"/>
        <family val="2"/>
      </rPr>
      <t>BOT</t>
    </r>
  </si>
  <si>
    <t>W</t>
  </si>
  <si>
    <t>d</t>
  </si>
  <si>
    <r>
      <t>V</t>
    </r>
    <r>
      <rPr>
        <b/>
        <i/>
        <vertAlign val="subscript"/>
        <sz val="10"/>
        <rFont val="Arial"/>
        <family val="2"/>
      </rPr>
      <t>S</t>
    </r>
    <r>
      <rPr>
        <b/>
        <vertAlign val="subscript"/>
        <sz val="10"/>
        <rFont val="Arial"/>
        <family val="2"/>
      </rPr>
      <t>30</t>
    </r>
  </si>
  <si>
    <r>
      <t>Z</t>
    </r>
    <r>
      <rPr>
        <b/>
        <vertAlign val="subscript"/>
        <sz val="10"/>
        <rFont val="Arial"/>
        <family val="2"/>
      </rPr>
      <t>2.5</t>
    </r>
  </si>
  <si>
    <r>
      <t>Z</t>
    </r>
    <r>
      <rPr>
        <b/>
        <vertAlign val="subscript"/>
        <sz val="10"/>
        <rFont val="Arial"/>
        <family val="2"/>
      </rPr>
      <t>2.5</t>
    </r>
    <r>
      <rPr>
        <b/>
        <sz val="10"/>
        <rFont val="Arial"/>
        <family val="2"/>
      </rPr>
      <t xml:space="preserve"> (Vs30=1100)</t>
    </r>
  </si>
  <si>
    <r>
      <t>A</t>
    </r>
    <r>
      <rPr>
        <b/>
        <vertAlign val="subscript"/>
        <sz val="10"/>
        <rFont val="Arial"/>
        <family val="2"/>
      </rPr>
      <t>1100</t>
    </r>
  </si>
  <si>
    <r>
      <t>Z</t>
    </r>
    <r>
      <rPr>
        <b/>
        <vertAlign val="subscript"/>
        <sz val="10"/>
        <rFont val="Arial"/>
        <family val="2"/>
      </rPr>
      <t>2.5</t>
    </r>
    <r>
      <rPr>
        <b/>
        <sz val="10"/>
        <rFont val="Arial"/>
        <family val="2"/>
      </rPr>
      <t xml:space="preserve"> (Vs30)</t>
    </r>
  </si>
  <si>
    <r>
      <t>Z</t>
    </r>
    <r>
      <rPr>
        <b/>
        <i/>
        <vertAlign val="subscript"/>
        <sz val="10"/>
        <rFont val="Arial"/>
        <family val="2"/>
      </rPr>
      <t>TOR</t>
    </r>
    <r>
      <rPr>
        <b/>
        <vertAlign val="subscript"/>
        <sz val="10"/>
        <rFont val="Arial"/>
        <family val="2"/>
      </rPr>
      <t xml:space="preserve"> 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M,F</t>
    </r>
    <r>
      <rPr>
        <b/>
        <sz val="10"/>
        <rFont val="Arial"/>
        <family val="2"/>
      </rPr>
      <t>)</t>
    </r>
  </si>
  <si>
    <r>
      <t>Z</t>
    </r>
    <r>
      <rPr>
        <b/>
        <i/>
        <vertAlign val="subscript"/>
        <sz val="10"/>
        <rFont val="Arial"/>
        <family val="2"/>
      </rPr>
      <t>HYP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 xml:space="preserve"> M,Z</t>
    </r>
    <r>
      <rPr>
        <b/>
        <i/>
        <vertAlign val="subscript"/>
        <sz val="10"/>
        <rFont val="Arial"/>
        <family val="2"/>
      </rPr>
      <t>BOR</t>
    </r>
    <r>
      <rPr>
        <b/>
        <i/>
        <sz val="10"/>
        <rFont val="Arial"/>
        <family val="2"/>
      </rPr>
      <t>,Z</t>
    </r>
    <r>
      <rPr>
        <b/>
        <i/>
        <vertAlign val="subscript"/>
        <sz val="10"/>
        <rFont val="Arial"/>
        <family val="2"/>
      </rPr>
      <t>TOR</t>
    </r>
    <r>
      <rPr>
        <b/>
        <i/>
        <sz val="10"/>
        <rFont val="Arial"/>
        <family val="2"/>
      </rPr>
      <t>,</t>
    </r>
    <r>
      <rPr>
        <b/>
        <i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)</t>
    </r>
  </si>
  <si>
    <r>
      <t>W</t>
    </r>
    <r>
      <rPr>
        <b/>
        <sz val="10"/>
        <rFont val="Arial"/>
        <family val="2"/>
      </rPr>
      <t xml:space="preserve"> (M,</t>
    </r>
    <r>
      <rPr>
        <b/>
        <i/>
        <sz val="10"/>
        <rFont val="Arial"/>
        <family val="2"/>
      </rP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>,Z</t>
    </r>
    <r>
      <rPr>
        <b/>
        <i/>
        <vertAlign val="subscript"/>
        <sz val="10"/>
        <rFont val="Arial"/>
        <family val="2"/>
      </rPr>
      <t>TOR</t>
    </r>
    <r>
      <rPr>
        <b/>
        <i/>
        <sz val="10"/>
        <rFont val="Arial"/>
        <family val="2"/>
      </rPr>
      <t>,</t>
    </r>
    <r>
      <rPr>
        <b/>
        <i/>
        <sz val="10"/>
        <rFont val="Symbol"/>
        <family val="1"/>
        <charset val="2"/>
      </rPr>
      <t>d</t>
    </r>
    <r>
      <rPr>
        <b/>
        <sz val="10"/>
        <rFont val="Arial"/>
        <family val="2"/>
      </rPr>
      <t>)</t>
    </r>
  </si>
  <si>
    <r>
      <t>Z</t>
    </r>
    <r>
      <rPr>
        <b/>
        <i/>
        <vertAlign val="subscript"/>
        <sz val="10"/>
        <rFont val="Arial"/>
        <family val="2"/>
      </rPr>
      <t>BOR</t>
    </r>
    <r>
      <rPr>
        <b/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>W,</t>
    </r>
    <r>
      <rPr>
        <b/>
        <i/>
        <sz val="10"/>
        <rFont val="Symbol"/>
        <family val="1"/>
        <charset val="2"/>
      </rPr>
      <t>d</t>
    </r>
    <r>
      <rPr>
        <b/>
        <sz val="10"/>
        <rFont val="Arial"/>
        <family val="2"/>
      </rPr>
      <t>)</t>
    </r>
  </si>
  <si>
    <t>GMP</t>
  </si>
  <si>
    <r>
      <t>T</t>
    </r>
    <r>
      <rPr>
        <b/>
        <sz val="10"/>
        <rFont val="Arial"/>
        <family val="2"/>
      </rPr>
      <t xml:space="preserve"> (s)</t>
    </r>
  </si>
  <si>
    <r>
      <t>f</t>
    </r>
    <r>
      <rPr>
        <b/>
        <i/>
        <vertAlign val="subscript"/>
        <sz val="10"/>
        <rFont val="Arial"/>
        <family val="2"/>
      </rPr>
      <t>mag</t>
    </r>
  </si>
  <si>
    <r>
      <t>f</t>
    </r>
    <r>
      <rPr>
        <b/>
        <i/>
        <vertAlign val="subscript"/>
        <sz val="10"/>
        <rFont val="Arial"/>
        <family val="2"/>
      </rPr>
      <t>dis</t>
    </r>
  </si>
  <si>
    <r>
      <t>f</t>
    </r>
    <r>
      <rPr>
        <b/>
        <i/>
        <vertAlign val="subscript"/>
        <sz val="10"/>
        <rFont val="Arial"/>
        <family val="2"/>
      </rPr>
      <t>site</t>
    </r>
  </si>
  <si>
    <t>Median</t>
  </si>
  <si>
    <t>a</t>
  </si>
  <si>
    <r>
      <t>f</t>
    </r>
    <r>
      <rPr>
        <b/>
        <i/>
        <vertAlign val="subscript"/>
        <sz val="12"/>
        <rFont val="Arial"/>
        <family val="2"/>
      </rPr>
      <t>lnY</t>
    </r>
  </si>
  <si>
    <t>f</t>
  </si>
  <si>
    <r>
      <t>t</t>
    </r>
    <r>
      <rPr>
        <b/>
        <i/>
        <vertAlign val="subscript"/>
        <sz val="12"/>
        <rFont val="Arial"/>
        <family val="2"/>
      </rPr>
      <t>lnY</t>
    </r>
  </si>
  <si>
    <t>t</t>
  </si>
  <si>
    <r>
      <t>f</t>
    </r>
    <r>
      <rPr>
        <b/>
        <i/>
        <vertAlign val="subscript"/>
        <sz val="12"/>
        <rFont val="Arial"/>
        <family val="2"/>
      </rPr>
      <t>c</t>
    </r>
  </si>
  <si>
    <t>s</t>
  </si>
  <si>
    <r>
      <t>s</t>
    </r>
    <r>
      <rPr>
        <b/>
        <i/>
        <vertAlign val="subscript"/>
        <sz val="10"/>
        <rFont val="Arial"/>
        <family val="2"/>
      </rPr>
      <t>Arb</t>
    </r>
  </si>
  <si>
    <t>PGA (g)</t>
  </si>
  <si>
    <t>PGV (cm/s)</t>
  </si>
  <si>
    <r>
      <t>c</t>
    </r>
    <r>
      <rPr>
        <b/>
        <vertAlign val="subscript"/>
        <sz val="10"/>
        <rFont val="Arial"/>
        <family val="2"/>
      </rPr>
      <t>0</t>
    </r>
  </si>
  <si>
    <r>
      <t>c</t>
    </r>
    <r>
      <rPr>
        <b/>
        <vertAlign val="subscript"/>
        <sz val="10"/>
        <rFont val="Arial"/>
        <family val="2"/>
      </rPr>
      <t>1</t>
    </r>
  </si>
  <si>
    <r>
      <t>c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</si>
  <si>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3</t>
    </r>
  </si>
  <si>
    <r>
      <t>c</t>
    </r>
    <r>
      <rPr>
        <b/>
        <vertAlign val="subscript"/>
        <sz val="10"/>
        <rFont val="Arial"/>
        <family val="2"/>
      </rPr>
      <t>4</t>
    </r>
  </si>
  <si>
    <r>
      <t>c</t>
    </r>
    <r>
      <rPr>
        <b/>
        <vertAlign val="subscript"/>
        <sz val="10"/>
        <rFont val="Arial"/>
        <family val="2"/>
      </rPr>
      <t>5</t>
    </r>
  </si>
  <si>
    <r>
      <t>c</t>
    </r>
    <r>
      <rPr>
        <b/>
        <vertAlign val="subscript"/>
        <sz val="10"/>
        <rFont val="Arial"/>
        <family val="2"/>
      </rPr>
      <t>6</t>
    </r>
  </si>
  <si>
    <r>
      <t>c</t>
    </r>
    <r>
      <rPr>
        <b/>
        <vertAlign val="subscript"/>
        <sz val="10"/>
        <rFont val="Arial"/>
        <family val="2"/>
      </rPr>
      <t>7</t>
    </r>
  </si>
  <si>
    <r>
      <t>c</t>
    </r>
    <r>
      <rPr>
        <b/>
        <vertAlign val="subscript"/>
        <sz val="10"/>
        <rFont val="Arial"/>
        <family val="2"/>
      </rPr>
      <t>8</t>
    </r>
  </si>
  <si>
    <r>
      <t>c</t>
    </r>
    <r>
      <rPr>
        <b/>
        <vertAlign val="subscript"/>
        <sz val="10"/>
        <rFont val="Arial"/>
        <family val="2"/>
      </rPr>
      <t>9</t>
    </r>
  </si>
  <si>
    <r>
      <t>c</t>
    </r>
    <r>
      <rPr>
        <b/>
        <vertAlign val="subscript"/>
        <sz val="10"/>
        <rFont val="Arial"/>
        <family val="2"/>
      </rPr>
      <t>10</t>
    </r>
  </si>
  <si>
    <r>
      <t>c</t>
    </r>
    <r>
      <rPr>
        <b/>
        <vertAlign val="subscript"/>
        <sz val="10"/>
        <rFont val="Arial"/>
        <family val="2"/>
      </rPr>
      <t>11</t>
    </r>
  </si>
  <si>
    <r>
      <t>c</t>
    </r>
    <r>
      <rPr>
        <b/>
        <vertAlign val="subscript"/>
        <sz val="10"/>
        <rFont val="Arial"/>
        <family val="2"/>
      </rPr>
      <t>12</t>
    </r>
  </si>
  <si>
    <r>
      <t>c</t>
    </r>
    <r>
      <rPr>
        <b/>
        <vertAlign val="subscript"/>
        <sz val="10"/>
        <rFont val="Arial"/>
        <family val="2"/>
      </rPr>
      <t>13</t>
    </r>
  </si>
  <si>
    <r>
      <t>c</t>
    </r>
    <r>
      <rPr>
        <b/>
        <vertAlign val="subscript"/>
        <sz val="10"/>
        <rFont val="Arial"/>
        <family val="2"/>
      </rPr>
      <t>14</t>
    </r>
  </si>
  <si>
    <r>
      <t>c</t>
    </r>
    <r>
      <rPr>
        <b/>
        <vertAlign val="subscript"/>
        <sz val="10"/>
        <rFont val="Arial"/>
        <family val="2"/>
      </rPr>
      <t>15</t>
    </r>
  </si>
  <si>
    <r>
      <t>c</t>
    </r>
    <r>
      <rPr>
        <b/>
        <vertAlign val="subscript"/>
        <sz val="10"/>
        <rFont val="Arial"/>
        <family val="2"/>
      </rPr>
      <t>16</t>
    </r>
  </si>
  <si>
    <r>
      <t>c</t>
    </r>
    <r>
      <rPr>
        <b/>
        <vertAlign val="subscript"/>
        <sz val="10"/>
        <rFont val="Arial"/>
        <family val="2"/>
      </rPr>
      <t>17</t>
    </r>
  </si>
  <si>
    <r>
      <t>c</t>
    </r>
    <r>
      <rPr>
        <b/>
        <vertAlign val="subscript"/>
        <sz val="10"/>
        <rFont val="Arial"/>
        <family val="2"/>
      </rPr>
      <t>18</t>
    </r>
  </si>
  <si>
    <r>
      <t>c</t>
    </r>
    <r>
      <rPr>
        <b/>
        <vertAlign val="subscript"/>
        <sz val="10"/>
        <rFont val="Arial"/>
        <family val="2"/>
      </rPr>
      <t>19</t>
    </r>
  </si>
  <si>
    <r>
      <t>c</t>
    </r>
    <r>
      <rPr>
        <b/>
        <vertAlign val="subscript"/>
        <sz val="10"/>
        <rFont val="Arial"/>
        <family val="2"/>
      </rPr>
      <t>20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</si>
  <si>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(CA)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</si>
  <si>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(JP)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</si>
  <si>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20</t>
    </r>
    <r>
      <rPr>
        <b/>
        <sz val="10"/>
        <rFont val="Arial"/>
        <family val="2"/>
      </rPr>
      <t xml:space="preserve"> (CH)</t>
    </r>
  </si>
  <si>
    <r>
      <t>a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</si>
  <si>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1</t>
    </r>
  </si>
  <si>
    <r>
      <t>h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</si>
  <si>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3</t>
    </r>
  </si>
  <si>
    <r>
      <t>h</t>
    </r>
    <r>
      <rPr>
        <b/>
        <vertAlign val="subscript"/>
        <sz val="10"/>
        <rFont val="Arial"/>
        <family val="2"/>
      </rPr>
      <t>4</t>
    </r>
  </si>
  <si>
    <r>
      <t>h</t>
    </r>
    <r>
      <rPr>
        <b/>
        <vertAlign val="subscript"/>
        <sz val="10"/>
        <rFont val="Arial"/>
        <family val="2"/>
      </rPr>
      <t>5</t>
    </r>
  </si>
  <si>
    <r>
      <t>h</t>
    </r>
    <r>
      <rPr>
        <b/>
        <vertAlign val="subscript"/>
        <sz val="10"/>
        <rFont val="Arial"/>
        <family val="2"/>
      </rPr>
      <t>6</t>
    </r>
  </si>
  <si>
    <r>
      <t>k</t>
    </r>
    <r>
      <rPr>
        <b/>
        <vertAlign val="subscript"/>
        <sz val="10"/>
        <rFont val="Arial"/>
        <family val="2"/>
      </rPr>
      <t>1</t>
    </r>
  </si>
  <si>
    <r>
      <t>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</si>
  <si>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</si>
  <si>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t>c</t>
  </si>
  <si>
    <t>n</t>
  </si>
  <si>
    <r>
      <t>f</t>
    </r>
    <r>
      <rPr>
        <b/>
        <i/>
        <vertAlign val="subscript"/>
        <sz val="10"/>
        <rFont val="Arial"/>
        <family val="2"/>
      </rPr>
      <t>1</t>
    </r>
  </si>
  <si>
    <r>
      <t>f</t>
    </r>
    <r>
      <rPr>
        <b/>
        <i/>
        <vertAlign val="subscript"/>
        <sz val="10"/>
        <rFont val="Arial"/>
        <family val="2"/>
      </rPr>
      <t>2</t>
    </r>
  </si>
  <si>
    <r>
      <t>t</t>
    </r>
    <r>
      <rPr>
        <b/>
        <i/>
        <vertAlign val="subscript"/>
        <sz val="10"/>
        <rFont val="Arial"/>
        <family val="2"/>
      </rPr>
      <t>1</t>
    </r>
  </si>
  <si>
    <r>
      <t>t</t>
    </r>
    <r>
      <rPr>
        <b/>
        <i/>
        <vertAlign val="subscript"/>
        <sz val="10"/>
        <rFont val="Arial"/>
        <family val="2"/>
      </rPr>
      <t>2</t>
    </r>
  </si>
  <si>
    <r>
      <t>f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AF</t>
    </r>
  </si>
  <si>
    <r>
      <t>f</t>
    </r>
    <r>
      <rPr>
        <b/>
        <i/>
        <vertAlign val="subscript"/>
        <sz val="10"/>
        <rFont val="Arial"/>
        <family val="2"/>
      </rPr>
      <t>C</t>
    </r>
  </si>
  <si>
    <r>
      <t>r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PGA,</t>
    </r>
    <r>
      <rPr>
        <b/>
        <vertAlign val="subscript"/>
        <sz val="10"/>
        <rFont val="Arial"/>
        <family val="2"/>
      </rPr>
      <t>ln</t>
    </r>
    <r>
      <rPr>
        <b/>
        <i/>
        <vertAlign val="subscript"/>
        <sz val="10"/>
        <rFont val="Arial"/>
        <family val="2"/>
      </rPr>
      <t>Y</t>
    </r>
  </si>
  <si>
    <r>
      <t>F</t>
    </r>
    <r>
      <rPr>
        <b/>
        <i/>
        <vertAlign val="subscript"/>
        <sz val="10"/>
        <rFont val="Arial"/>
        <family val="2"/>
      </rPr>
      <t>HW</t>
    </r>
  </si>
  <si>
    <r>
      <t>V</t>
    </r>
    <r>
      <rPr>
        <b/>
        <i/>
        <vertAlign val="subscript"/>
        <sz val="10"/>
        <rFont val="Arial"/>
        <family val="2"/>
      </rPr>
      <t>S30</t>
    </r>
  </si>
  <si>
    <r>
      <t>Z</t>
    </r>
    <r>
      <rPr>
        <b/>
        <i/>
        <vertAlign val="subscript"/>
        <sz val="10"/>
        <rFont val="Arial"/>
        <family val="2"/>
      </rPr>
      <t>1.0</t>
    </r>
  </si>
  <si>
    <r>
      <rPr>
        <b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DPP</t>
    </r>
  </si>
  <si>
    <r>
      <t>S</t>
    </r>
    <r>
      <rPr>
        <b/>
        <i/>
        <vertAlign val="subscript"/>
        <sz val="10"/>
        <rFont val="Arial"/>
        <family val="2"/>
      </rPr>
      <t>Jp-It</t>
    </r>
  </si>
  <si>
    <r>
      <t>S</t>
    </r>
    <r>
      <rPr>
        <b/>
        <i/>
        <vertAlign val="subscript"/>
        <sz val="10"/>
        <rFont val="Arial"/>
        <family val="2"/>
      </rPr>
      <t>Wn</t>
    </r>
  </si>
  <si>
    <r>
      <t>Z</t>
    </r>
    <r>
      <rPr>
        <b/>
        <i/>
        <vertAlign val="subscript"/>
        <sz val="10"/>
        <rFont val="Arial"/>
        <family val="2"/>
      </rPr>
      <t>1.0</t>
    </r>
    <r>
      <rPr>
        <b/>
        <vertAlign val="subscript"/>
        <sz val="10"/>
        <rFont val="Arial"/>
        <family val="2"/>
      </rPr>
      <t xml:space="preserve"> 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S</t>
    </r>
    <r>
      <rPr>
        <b/>
        <i/>
        <vertAlign val="subscript"/>
        <sz val="10"/>
        <rFont val="Arial"/>
        <family val="2"/>
      </rPr>
      <t>J</t>
    </r>
    <r>
      <rPr>
        <b/>
        <i/>
        <sz val="10"/>
        <rFont val="Arial"/>
        <family val="2"/>
      </rPr>
      <t>,V</t>
    </r>
    <r>
      <rPr>
        <b/>
        <i/>
        <vertAlign val="subscript"/>
        <sz val="10"/>
        <rFont val="Arial"/>
        <family val="2"/>
      </rPr>
      <t>S30</t>
    </r>
    <r>
      <rPr>
        <b/>
        <sz val="10"/>
        <rFont val="Arial"/>
        <family val="2"/>
      </rPr>
      <t>)</t>
    </r>
  </si>
  <si>
    <t xml:space="preserve">   PSA</t>
  </si>
  <si>
    <t xml:space="preserve">   PGA</t>
  </si>
  <si>
    <t>=  Peak ground acceleration (g)</t>
  </si>
  <si>
    <t xml:space="preserve">   M</t>
  </si>
  <si>
    <t>=  Moment magnitude</t>
  </si>
  <si>
    <r>
      <t xml:space="preserve">   R</t>
    </r>
    <r>
      <rPr>
        <b/>
        <i/>
        <vertAlign val="subscript"/>
        <sz val="10"/>
        <rFont val="Arial"/>
        <family val="2"/>
      </rPr>
      <t>RUP</t>
    </r>
  </si>
  <si>
    <r>
      <t xml:space="preserve">   R</t>
    </r>
    <r>
      <rPr>
        <b/>
        <i/>
        <vertAlign val="subscript"/>
        <sz val="10"/>
        <rFont val="Arial"/>
        <family val="2"/>
      </rPr>
      <t>JB</t>
    </r>
  </si>
  <si>
    <r>
      <t xml:space="preserve">   R</t>
    </r>
    <r>
      <rPr>
        <b/>
        <i/>
        <vertAlign val="subscript"/>
        <sz val="10"/>
        <rFont val="Arial"/>
        <family val="2"/>
      </rPr>
      <t>X</t>
    </r>
  </si>
  <si>
    <r>
      <t xml:space="preserve">   F</t>
    </r>
    <r>
      <rPr>
        <b/>
        <i/>
        <vertAlign val="subscript"/>
        <sz val="10"/>
        <rFont val="Arial"/>
        <family val="2"/>
      </rPr>
      <t>RV</t>
    </r>
  </si>
  <si>
    <t>=  Reverse-faulting factor:  0 for strike slip, normal, normal-oblique; 1 for reverse, reverse-oblique and thrust</t>
  </si>
  <si>
    <r>
      <t xml:space="preserve">   F</t>
    </r>
    <r>
      <rPr>
        <b/>
        <i/>
        <vertAlign val="subscript"/>
        <sz val="10"/>
        <rFont val="Arial"/>
        <family val="2"/>
      </rPr>
      <t>NM</t>
    </r>
  </si>
  <si>
    <t>=  Normal-faulting factor:  0 for strike slip, reverse, reverse-oblique, thrust and normal-oblique; 1 for normal</t>
  </si>
  <si>
    <r>
      <t xml:space="preserve">   F</t>
    </r>
    <r>
      <rPr>
        <b/>
        <i/>
        <vertAlign val="subscript"/>
        <sz val="10"/>
        <rFont val="Arial"/>
        <family val="2"/>
      </rPr>
      <t>HW</t>
    </r>
  </si>
  <si>
    <r>
      <t xml:space="preserve">   Z</t>
    </r>
    <r>
      <rPr>
        <b/>
        <i/>
        <vertAlign val="subscript"/>
        <sz val="10"/>
        <rFont val="Arial"/>
        <family val="2"/>
      </rPr>
      <t>TOR</t>
    </r>
  </si>
  <si>
    <t xml:space="preserve">   PGV</t>
  </si>
  <si>
    <t>=  Peak ground velocity (cm/s)</t>
  </si>
  <si>
    <r>
      <t xml:space="preserve">   </t>
    </r>
    <r>
      <rPr>
        <b/>
        <i/>
        <sz val="10"/>
        <rFont val="Arial"/>
        <family val="2"/>
      </rPr>
      <t>A</t>
    </r>
    <r>
      <rPr>
        <b/>
        <vertAlign val="subscript"/>
        <sz val="10"/>
        <rFont val="Arial"/>
        <family val="2"/>
      </rPr>
      <t>1100</t>
    </r>
  </si>
  <si>
    <r>
      <t xml:space="preserve">   Z</t>
    </r>
    <r>
      <rPr>
        <b/>
        <i/>
        <vertAlign val="subscript"/>
        <sz val="10"/>
        <rFont val="Arial"/>
        <family val="2"/>
      </rPr>
      <t>HYP</t>
    </r>
  </si>
  <si>
    <r>
      <t xml:space="preserve">   Z</t>
    </r>
    <r>
      <rPr>
        <b/>
        <i/>
        <vertAlign val="subscript"/>
        <sz val="10"/>
        <rFont val="Arial"/>
        <family val="2"/>
      </rPr>
      <t>BOR</t>
    </r>
  </si>
  <si>
    <r>
      <t xml:space="preserve">   Z</t>
    </r>
    <r>
      <rPr>
        <b/>
        <i/>
        <vertAlign val="subscript"/>
        <sz val="10"/>
        <rFont val="Arial"/>
        <family val="2"/>
      </rPr>
      <t>BOT</t>
    </r>
  </si>
  <si>
    <t xml:space="preserve">   W</t>
  </si>
  <si>
    <t xml:space="preserve">   d</t>
  </si>
  <si>
    <r>
      <t xml:space="preserve">   V</t>
    </r>
    <r>
      <rPr>
        <b/>
        <i/>
        <vertAlign val="subscript"/>
        <sz val="10"/>
        <rFont val="Arial"/>
        <family val="2"/>
      </rPr>
      <t>S30</t>
    </r>
  </si>
  <si>
    <r>
      <t xml:space="preserve">   </t>
    </r>
    <r>
      <rPr>
        <b/>
        <i/>
        <sz val="10"/>
        <rFont val="Arial"/>
        <family val="2"/>
      </rPr>
      <t>Z</t>
    </r>
    <r>
      <rPr>
        <b/>
        <vertAlign val="subscript"/>
        <sz val="10"/>
        <rFont val="Arial"/>
        <family val="2"/>
      </rPr>
      <t>2.5</t>
    </r>
  </si>
  <si>
    <r>
      <t xml:space="preserve">   S</t>
    </r>
    <r>
      <rPr>
        <b/>
        <i/>
        <vertAlign val="subscript"/>
        <sz val="10"/>
        <rFont val="Arial"/>
        <family val="2"/>
      </rPr>
      <t>J</t>
    </r>
  </si>
  <si>
    <r>
      <t xml:space="preserve">   S</t>
    </r>
    <r>
      <rPr>
        <b/>
        <i/>
        <vertAlign val="subscript"/>
        <sz val="10"/>
        <rFont val="Arial"/>
        <family val="2"/>
      </rPr>
      <t>JP</t>
    </r>
  </si>
  <si>
    <r>
      <t xml:space="preserve">   S</t>
    </r>
    <r>
      <rPr>
        <b/>
        <i/>
        <vertAlign val="subscript"/>
        <sz val="10"/>
        <rFont val="Arial"/>
        <family val="2"/>
      </rPr>
      <t>CH</t>
    </r>
  </si>
  <si>
    <t>Definition of Parameters</t>
  </si>
  <si>
    <r>
      <t>c</t>
    </r>
    <r>
      <rPr>
        <b/>
        <vertAlign val="subscript"/>
        <sz val="10"/>
        <rFont val="Arial"/>
        <family val="2"/>
      </rPr>
      <t>4a</t>
    </r>
  </si>
  <si>
    <r>
      <t>c</t>
    </r>
    <r>
      <rPr>
        <b/>
        <i/>
        <vertAlign val="subscript"/>
        <sz val="10"/>
        <rFont val="Arial"/>
        <family val="2"/>
      </rPr>
      <t>RB</t>
    </r>
  </si>
  <si>
    <r>
      <t>c</t>
    </r>
    <r>
      <rPr>
        <b/>
        <vertAlign val="subscript"/>
        <sz val="10"/>
        <rFont val="Arial"/>
        <family val="2"/>
      </rPr>
      <t>8a</t>
    </r>
  </si>
  <si>
    <r>
      <t>c</t>
    </r>
    <r>
      <rPr>
        <b/>
        <vertAlign val="subscript"/>
        <sz val="10"/>
        <rFont val="Arial"/>
        <family val="2"/>
      </rPr>
      <t>1</t>
    </r>
    <r>
      <rPr>
        <b/>
        <i/>
        <vertAlign val="subscript"/>
        <sz val="10"/>
        <rFont val="Arial"/>
        <family val="2"/>
      </rPr>
      <t>a</t>
    </r>
  </si>
  <si>
    <r>
      <t>c</t>
    </r>
    <r>
      <rPr>
        <b/>
        <vertAlign val="subscript"/>
        <sz val="10"/>
        <rFont val="Arial"/>
        <family val="2"/>
      </rPr>
      <t>1</t>
    </r>
    <r>
      <rPr>
        <b/>
        <i/>
        <vertAlign val="subscript"/>
        <sz val="10"/>
        <rFont val="Arial"/>
        <family val="2"/>
      </rPr>
      <t>b</t>
    </r>
  </si>
  <si>
    <r>
      <t>c</t>
    </r>
    <r>
      <rPr>
        <b/>
        <vertAlign val="subscript"/>
        <sz val="10"/>
        <rFont val="Arial"/>
        <family val="2"/>
      </rPr>
      <t>1c</t>
    </r>
  </si>
  <si>
    <r>
      <t>c</t>
    </r>
    <r>
      <rPr>
        <b/>
        <vertAlign val="subscript"/>
        <sz val="10"/>
        <rFont val="Arial"/>
        <family val="2"/>
      </rPr>
      <t>1d</t>
    </r>
  </si>
  <si>
    <r>
      <t>c</t>
    </r>
    <r>
      <rPr>
        <b/>
        <i/>
        <vertAlign val="subscript"/>
        <sz val="10"/>
        <rFont val="Arial"/>
        <family val="2"/>
      </rPr>
      <t>n</t>
    </r>
  </si>
  <si>
    <r>
      <t>c</t>
    </r>
    <r>
      <rPr>
        <b/>
        <i/>
        <vertAlign val="subscript"/>
        <sz val="10"/>
        <rFont val="Arial"/>
        <family val="2"/>
      </rPr>
      <t>M</t>
    </r>
  </si>
  <si>
    <r>
      <t>c</t>
    </r>
    <r>
      <rPr>
        <b/>
        <i/>
        <vertAlign val="subscript"/>
        <sz val="10"/>
        <rFont val="Arial"/>
        <family val="2"/>
      </rPr>
      <t>HM</t>
    </r>
  </si>
  <si>
    <r>
      <t>c</t>
    </r>
    <r>
      <rPr>
        <b/>
        <vertAlign val="subscript"/>
        <sz val="10"/>
        <rFont val="Arial"/>
        <family val="2"/>
      </rPr>
      <t>7b</t>
    </r>
  </si>
  <si>
    <r>
      <t>c</t>
    </r>
    <r>
      <rPr>
        <b/>
        <vertAlign val="subscript"/>
        <sz val="10"/>
        <rFont val="Arial"/>
        <family val="2"/>
      </rPr>
      <t>8b</t>
    </r>
  </si>
  <si>
    <r>
      <t>c</t>
    </r>
    <r>
      <rPr>
        <b/>
        <vertAlign val="subscript"/>
        <sz val="10"/>
        <rFont val="Arial"/>
        <family val="2"/>
      </rPr>
      <t>9</t>
    </r>
    <r>
      <rPr>
        <b/>
        <i/>
        <vertAlign val="subscript"/>
        <sz val="10"/>
        <rFont val="Arial"/>
        <family val="2"/>
      </rPr>
      <t>a</t>
    </r>
  </si>
  <si>
    <r>
      <t>c</t>
    </r>
    <r>
      <rPr>
        <b/>
        <vertAlign val="subscript"/>
        <sz val="10"/>
        <rFont val="Arial"/>
        <family val="2"/>
      </rPr>
      <t>9b</t>
    </r>
  </si>
  <si>
    <r>
      <t>c</t>
    </r>
    <r>
      <rPr>
        <b/>
        <vertAlign val="subscript"/>
        <sz val="10"/>
        <rFont val="Arial"/>
        <family val="2"/>
      </rPr>
      <t>11b</t>
    </r>
  </si>
  <si>
    <r>
      <t>c</t>
    </r>
    <r>
      <rPr>
        <b/>
        <i/>
        <vertAlign val="subscript"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1</t>
    </r>
  </si>
  <si>
    <r>
      <t>c</t>
    </r>
    <r>
      <rPr>
        <b/>
        <i/>
        <vertAlign val="subscript"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</si>
  <si>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i/>
        <sz val="10"/>
        <rFont val="Symbol"/>
        <family val="1"/>
        <charset val="2"/>
      </rPr>
      <t>g</t>
    </r>
    <r>
      <rPr>
        <b/>
        <vertAlign val="subscript"/>
        <sz val="10"/>
        <rFont val="Arial"/>
        <family val="2"/>
      </rPr>
      <t>3</t>
    </r>
  </si>
  <si>
    <r>
      <t>f</t>
    </r>
    <r>
      <rPr>
        <b/>
        <vertAlign val="subscript"/>
        <sz val="10"/>
        <rFont val="Arial"/>
        <family val="2"/>
      </rPr>
      <t>1</t>
    </r>
  </si>
  <si>
    <r>
      <t>f</t>
    </r>
    <r>
      <rPr>
        <b/>
        <vertAlign val="subscript"/>
        <sz val="10"/>
        <rFont val="Arial"/>
        <family val="2"/>
      </rPr>
      <t>2</t>
    </r>
  </si>
  <si>
    <r>
      <t>f</t>
    </r>
    <r>
      <rPr>
        <b/>
        <vertAlign val="subscript"/>
        <sz val="10"/>
        <rFont val="Arial"/>
        <family val="2"/>
      </rPr>
      <t>3</t>
    </r>
  </si>
  <si>
    <r>
      <t>f</t>
    </r>
    <r>
      <rPr>
        <b/>
        <vertAlign val="subscript"/>
        <sz val="10"/>
        <rFont val="Arial"/>
        <family val="2"/>
      </rPr>
      <t>4</t>
    </r>
  </si>
  <si>
    <r>
      <t>f</t>
    </r>
    <r>
      <rPr>
        <b/>
        <vertAlign val="subscript"/>
        <sz val="10"/>
        <rFont val="Arial"/>
        <family val="2"/>
      </rPr>
      <t>5</t>
    </r>
  </si>
  <si>
    <r>
      <t>f</t>
    </r>
    <r>
      <rPr>
        <b/>
        <vertAlign val="subscript"/>
        <sz val="10"/>
        <rFont val="Arial"/>
        <family val="2"/>
      </rPr>
      <t>6</t>
    </r>
  </si>
  <si>
    <r>
      <t>t</t>
    </r>
    <r>
      <rPr>
        <b/>
        <vertAlign val="subscript"/>
        <sz val="10"/>
        <rFont val="Arial"/>
        <family val="2"/>
      </rPr>
      <t>1</t>
    </r>
  </si>
  <si>
    <r>
      <t>t</t>
    </r>
    <r>
      <rPr>
        <b/>
        <vertAlign val="subscript"/>
        <sz val="10"/>
        <rFont val="Arial"/>
        <family val="2"/>
      </rPr>
      <t>2</t>
    </r>
  </si>
  <si>
    <r>
      <t>s</t>
    </r>
    <r>
      <rPr>
        <b/>
        <vertAlign val="subscript"/>
        <sz val="10"/>
        <rFont val="Arial"/>
        <family val="2"/>
      </rPr>
      <t>1</t>
    </r>
  </si>
  <si>
    <r>
      <t>s</t>
    </r>
    <r>
      <rPr>
        <b/>
        <vertAlign val="subscript"/>
        <sz val="10"/>
        <rFont val="Arial"/>
        <family val="2"/>
      </rPr>
      <t>2</t>
    </r>
  </si>
  <si>
    <r>
      <t>s</t>
    </r>
    <r>
      <rPr>
        <b/>
        <vertAlign val="subscript"/>
        <sz val="10"/>
        <rFont val="Arial"/>
        <family val="2"/>
      </rPr>
      <t>3</t>
    </r>
  </si>
  <si>
    <r>
      <t>g</t>
    </r>
    <r>
      <rPr>
        <b/>
        <vertAlign val="subscript"/>
        <sz val="10"/>
        <rFont val="Arial"/>
        <family val="2"/>
      </rPr>
      <t>Jp-It</t>
    </r>
  </si>
  <si>
    <r>
      <t>g</t>
    </r>
    <r>
      <rPr>
        <b/>
        <vertAlign val="subscript"/>
        <sz val="10"/>
        <rFont val="Arial"/>
        <family val="2"/>
      </rPr>
      <t>Wn</t>
    </r>
  </si>
  <si>
    <r>
      <t>f</t>
    </r>
    <r>
      <rPr>
        <b/>
        <vertAlign val="subscript"/>
        <sz val="10"/>
        <rFont val="Arial"/>
        <family val="2"/>
      </rPr>
      <t>1Jp</t>
    </r>
  </si>
  <si>
    <r>
      <t>f</t>
    </r>
    <r>
      <rPr>
        <b/>
        <vertAlign val="subscript"/>
        <sz val="10"/>
        <rFont val="Arial"/>
        <family val="2"/>
      </rPr>
      <t>5JP</t>
    </r>
  </si>
  <si>
    <r>
      <t>f</t>
    </r>
    <r>
      <rPr>
        <b/>
        <vertAlign val="subscript"/>
        <sz val="10"/>
        <rFont val="Arial"/>
        <family val="2"/>
      </rPr>
      <t>6JP</t>
    </r>
  </si>
  <si>
    <t>Period</t>
  </si>
  <si>
    <t>b</t>
  </si>
  <si>
    <t>c4</t>
  </si>
  <si>
    <t>M1</t>
  </si>
  <si>
    <t>a1</t>
  </si>
  <si>
    <t>a2</t>
  </si>
  <si>
    <t>a3</t>
  </si>
  <si>
    <t>a4</t>
  </si>
  <si>
    <t>a5</t>
  </si>
  <si>
    <t>a6</t>
  </si>
  <si>
    <t>a7</t>
  </si>
  <si>
    <t>a8</t>
  </si>
  <si>
    <t>a10</t>
  </si>
  <si>
    <t>a11</t>
  </si>
  <si>
    <t>a12</t>
  </si>
  <si>
    <t>a13</t>
  </si>
  <si>
    <t>a14</t>
  </si>
  <si>
    <t>a15</t>
  </si>
  <si>
    <t>a17</t>
  </si>
  <si>
    <t>a25</t>
  </si>
  <si>
    <t>a28</t>
  </si>
  <si>
    <t>a29</t>
  </si>
  <si>
    <t>a31</t>
  </si>
  <si>
    <t>a36</t>
  </si>
  <si>
    <t>a37</t>
  </si>
  <si>
    <t>a38</t>
  </si>
  <si>
    <t>a39</t>
  </si>
  <si>
    <t>a41</t>
  </si>
  <si>
    <t>a42</t>
  </si>
  <si>
    <t>s1 (known vs)</t>
  </si>
  <si>
    <t>s2 (known vs)</t>
  </si>
  <si>
    <t>s3</t>
  </si>
  <si>
    <t>s4</t>
  </si>
  <si>
    <t>s5 (Japan Phi)</t>
  </si>
  <si>
    <t>s6 (Japan Phi)</t>
  </si>
  <si>
    <t>Region</t>
  </si>
  <si>
    <t>Ry0</t>
  </si>
  <si>
    <t>h (km)</t>
  </si>
  <si>
    <t>flin</t>
  </si>
  <si>
    <t>fnl</t>
  </si>
  <si>
    <t>U</t>
  </si>
  <si>
    <r>
      <t>V</t>
    </r>
    <r>
      <rPr>
        <b/>
        <i/>
        <vertAlign val="subscript"/>
        <sz val="10"/>
        <rFont val="Arial"/>
        <family val="2"/>
      </rPr>
      <t xml:space="preserve">S30 </t>
    </r>
    <r>
      <rPr>
        <b/>
        <i/>
        <sz val="10"/>
        <rFont val="Arial"/>
        <family val="2"/>
      </rPr>
      <t>(m/s)</t>
    </r>
  </si>
  <si>
    <t>Z1 (km)</t>
  </si>
  <si>
    <r>
      <t>R</t>
    </r>
    <r>
      <rPr>
        <b/>
        <i/>
        <vertAlign val="subscript"/>
        <sz val="10"/>
        <rFont val="Arial"/>
        <family val="2"/>
      </rPr>
      <t xml:space="preserve">RUP </t>
    </r>
    <r>
      <rPr>
        <b/>
        <i/>
        <sz val="10"/>
        <rFont val="Arial"/>
        <family val="2"/>
      </rPr>
      <t>(km)</t>
    </r>
  </si>
  <si>
    <r>
      <t>R</t>
    </r>
    <r>
      <rPr>
        <b/>
        <i/>
        <vertAlign val="subscript"/>
        <sz val="10"/>
        <rFont val="Arial"/>
        <family val="2"/>
      </rPr>
      <t xml:space="preserve">JB </t>
    </r>
    <r>
      <rPr>
        <b/>
        <i/>
        <sz val="10"/>
        <rFont val="Arial"/>
        <family val="2"/>
      </rPr>
      <t>(km)</t>
    </r>
  </si>
  <si>
    <t>dz1</t>
  </si>
  <si>
    <r>
      <t>a</t>
    </r>
    <r>
      <rPr>
        <b/>
        <i/>
        <vertAlign val="subscript"/>
        <sz val="10"/>
        <rFont val="Arial"/>
        <family val="2"/>
      </rPr>
      <t>1</t>
    </r>
  </si>
  <si>
    <r>
      <t>a</t>
    </r>
    <r>
      <rPr>
        <b/>
        <i/>
        <vertAlign val="subscript"/>
        <sz val="10"/>
        <rFont val="Arial"/>
        <family val="2"/>
      </rPr>
      <t>2</t>
    </r>
  </si>
  <si>
    <r>
      <t>b</t>
    </r>
    <r>
      <rPr>
        <b/>
        <i/>
        <vertAlign val="subscript"/>
        <sz val="10"/>
        <rFont val="Arial"/>
        <family val="2"/>
      </rPr>
      <t>1</t>
    </r>
  </si>
  <si>
    <r>
      <t>b</t>
    </r>
    <r>
      <rPr>
        <b/>
        <i/>
        <vertAlign val="subscript"/>
        <sz val="10"/>
        <rFont val="Arial"/>
        <family val="2"/>
      </rPr>
      <t>2</t>
    </r>
  </si>
  <si>
    <r>
      <t>a</t>
    </r>
    <r>
      <rPr>
        <b/>
        <i/>
        <vertAlign val="subscript"/>
        <sz val="10"/>
        <rFont val="Arial"/>
        <family val="2"/>
      </rPr>
      <t>3</t>
    </r>
  </si>
  <si>
    <t>x</t>
  </si>
  <si>
    <t>g</t>
  </si>
  <si>
    <t>j</t>
  </si>
  <si>
    <r>
      <t xml:space="preserve">M ≤ 6.75, </t>
    </r>
    <r>
      <rPr>
        <b/>
        <i/>
        <sz val="10"/>
        <rFont val="Arial"/>
        <family val="2"/>
      </rPr>
      <t>V</t>
    </r>
    <r>
      <rPr>
        <b/>
        <i/>
        <vertAlign val="subscript"/>
        <sz val="10"/>
        <rFont val="Aparajita"/>
        <family val="2"/>
      </rPr>
      <t>S30</t>
    </r>
    <r>
      <rPr>
        <b/>
        <sz val="10"/>
        <rFont val="Arial"/>
        <family val="2"/>
      </rPr>
      <t xml:space="preserve"> ≥ 450 m/sec</t>
    </r>
  </si>
  <si>
    <r>
      <rPr>
        <b/>
        <sz val="10"/>
        <rFont val="Arial"/>
        <family val="2"/>
      </rPr>
      <t xml:space="preserve">M &gt; 6.75, </t>
    </r>
    <r>
      <rPr>
        <b/>
        <i/>
        <sz val="10"/>
        <rFont val="Arial"/>
        <family val="2"/>
      </rPr>
      <t>V</t>
    </r>
    <r>
      <rPr>
        <b/>
        <i/>
        <vertAlign val="subscript"/>
        <sz val="10"/>
        <rFont val="Arial"/>
        <family val="2"/>
      </rPr>
      <t>S30</t>
    </r>
    <r>
      <rPr>
        <b/>
        <sz val="10"/>
        <rFont val="Arial"/>
        <family val="2"/>
      </rPr>
      <t xml:space="preserve"> ≥ 450 m/sec</t>
    </r>
  </si>
  <si>
    <t>F</t>
  </si>
  <si>
    <r>
      <t>V</t>
    </r>
    <r>
      <rPr>
        <b/>
        <i/>
        <vertAlign val="subscript"/>
        <sz val="10"/>
        <rFont val="Arial"/>
        <family val="2"/>
      </rPr>
      <t>S</t>
    </r>
    <r>
      <rPr>
        <b/>
        <vertAlign val="subscript"/>
        <sz val="10"/>
        <rFont val="Arial"/>
        <family val="2"/>
      </rPr>
      <t>30</t>
    </r>
    <r>
      <rPr>
        <b/>
        <sz val="10"/>
        <rFont val="Arial"/>
        <family val="2"/>
      </rPr>
      <t xml:space="preserve"> (m/s)</t>
    </r>
  </si>
  <si>
    <r>
      <t>R</t>
    </r>
    <r>
      <rPr>
        <b/>
        <i/>
        <vertAlign val="subscript"/>
        <sz val="11"/>
        <rFont val="Arial"/>
        <family val="2"/>
      </rPr>
      <t>RUP</t>
    </r>
    <r>
      <rPr>
        <b/>
        <i/>
        <sz val="11"/>
        <rFont val="Arial"/>
        <family val="2"/>
      </rPr>
      <t xml:space="preserve"> (km)</t>
    </r>
  </si>
  <si>
    <r>
      <t>R</t>
    </r>
    <r>
      <rPr>
        <b/>
        <i/>
        <vertAlign val="subscript"/>
        <sz val="11"/>
        <rFont val="Arial"/>
        <family val="2"/>
      </rPr>
      <t xml:space="preserve">JB </t>
    </r>
    <r>
      <rPr>
        <b/>
        <i/>
        <sz val="11"/>
        <rFont val="Arial"/>
        <family val="2"/>
      </rPr>
      <t xml:space="preserve"> (km)</t>
    </r>
  </si>
  <si>
    <r>
      <t>R</t>
    </r>
    <r>
      <rPr>
        <b/>
        <i/>
        <vertAlign val="subscript"/>
        <sz val="11"/>
        <rFont val="Arial"/>
        <family val="2"/>
      </rPr>
      <t xml:space="preserve">X  </t>
    </r>
    <r>
      <rPr>
        <b/>
        <i/>
        <sz val="11"/>
        <rFont val="Arial"/>
        <family val="2"/>
      </rPr>
      <t>(km)</t>
    </r>
  </si>
  <si>
    <r>
      <t>F</t>
    </r>
    <r>
      <rPr>
        <b/>
        <i/>
        <vertAlign val="subscript"/>
        <sz val="11"/>
        <rFont val="Arial"/>
        <family val="2"/>
      </rPr>
      <t>RV</t>
    </r>
  </si>
  <si>
    <r>
      <t>F</t>
    </r>
    <r>
      <rPr>
        <b/>
        <i/>
        <vertAlign val="subscript"/>
        <sz val="11"/>
        <rFont val="Arial"/>
        <family val="2"/>
      </rPr>
      <t>NM</t>
    </r>
  </si>
  <si>
    <r>
      <t>F</t>
    </r>
    <r>
      <rPr>
        <b/>
        <i/>
        <vertAlign val="subscript"/>
        <sz val="11"/>
        <rFont val="Arial"/>
        <family val="2"/>
      </rPr>
      <t>HW</t>
    </r>
  </si>
  <si>
    <r>
      <t>Z</t>
    </r>
    <r>
      <rPr>
        <b/>
        <i/>
        <vertAlign val="subscript"/>
        <sz val="11"/>
        <rFont val="Arial"/>
        <family val="2"/>
      </rPr>
      <t xml:space="preserve">TOR </t>
    </r>
    <r>
      <rPr>
        <b/>
        <i/>
        <sz val="11"/>
        <rFont val="Arial"/>
        <family val="2"/>
      </rPr>
      <t>(km)</t>
    </r>
  </si>
  <si>
    <r>
      <t>V</t>
    </r>
    <r>
      <rPr>
        <b/>
        <i/>
        <vertAlign val="subscript"/>
        <sz val="11"/>
        <rFont val="Arial"/>
        <family val="2"/>
      </rPr>
      <t xml:space="preserve">S30 </t>
    </r>
    <r>
      <rPr>
        <b/>
        <i/>
        <sz val="11"/>
        <rFont val="Arial"/>
        <family val="2"/>
      </rPr>
      <t>(m/sec)</t>
    </r>
  </si>
  <si>
    <r>
      <t>Z</t>
    </r>
    <r>
      <rPr>
        <b/>
        <vertAlign val="subscript"/>
        <sz val="11"/>
        <rFont val="Arial"/>
        <family val="2"/>
      </rPr>
      <t>2.5</t>
    </r>
    <r>
      <rPr>
        <b/>
        <i/>
        <sz val="11"/>
        <rFont val="Arial"/>
        <family val="2"/>
      </rPr>
      <t xml:space="preserve"> (km)</t>
    </r>
  </si>
  <si>
    <t>W (km)</t>
  </si>
  <si>
    <t>=  Closest distance to surface projection of coseismic rupture (km). See Figures a, b and c for illustation</t>
  </si>
  <si>
    <t xml:space="preserve">   U</t>
  </si>
  <si>
    <r>
      <t xml:space="preserve">  F</t>
    </r>
    <r>
      <rPr>
        <b/>
        <i/>
        <vertAlign val="subscript"/>
        <sz val="10"/>
        <rFont val="Arial"/>
        <family val="2"/>
      </rPr>
      <t>AS</t>
    </r>
  </si>
  <si>
    <r>
      <t>Z</t>
    </r>
    <r>
      <rPr>
        <b/>
        <i/>
        <vertAlign val="subscript"/>
        <sz val="10"/>
        <rFont val="Arial"/>
        <family val="2"/>
      </rPr>
      <t xml:space="preserve">1.0 </t>
    </r>
    <r>
      <rPr>
        <b/>
        <i/>
        <sz val="10"/>
        <rFont val="Arial"/>
        <family val="2"/>
      </rPr>
      <t>(AS calc)</t>
    </r>
  </si>
  <si>
    <t>Vs30flag</t>
  </si>
  <si>
    <t>fz1</t>
  </si>
  <si>
    <t>T (s)</t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</si>
  <si>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0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</si>
  <si>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</si>
  <si>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</si>
  <si>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</si>
  <si>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</si>
  <si>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</si>
  <si>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</si>
  <si>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h</t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</si>
  <si>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</si>
  <si>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</si>
  <si>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</si>
  <si>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ref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</si>
  <si>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ref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</si>
  <si>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(globalCATW)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</si>
  <si>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(ChinaTurkey)</t>
    </r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</si>
  <si>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</t>
    </r>
    <r>
      <rPr>
        <b/>
        <i/>
        <vertAlign val="subscript"/>
        <sz val="11"/>
        <color theme="1"/>
        <rFont val="Calibri"/>
        <family val="2"/>
        <scheme val="minor"/>
      </rPr>
      <t>3</t>
    </r>
    <r>
      <rPr>
        <b/>
        <i/>
        <sz val="11"/>
        <color theme="1"/>
        <rFont val="Calibri"/>
        <family val="2"/>
        <scheme val="minor"/>
      </rPr>
      <t xml:space="preserve"> (ItalyJapan)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</si>
  <si>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 xml:space="preserve">c </t>
    </r>
    <r>
      <rPr>
        <b/>
        <i/>
        <sz val="11"/>
        <color theme="1"/>
        <rFont val="Calibri"/>
        <family val="2"/>
        <scheme val="minor"/>
      </rPr>
      <t>(m/s)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</si>
  <si>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 xml:space="preserve">ref  </t>
    </r>
    <r>
      <rPr>
        <b/>
        <i/>
        <sz val="11"/>
        <color theme="1"/>
        <rFont val="Calibri"/>
        <family val="2"/>
        <scheme val="minor"/>
      </rPr>
      <t>(m/s)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</si>
  <si>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</si>
  <si>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</si>
  <si>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</si>
  <si>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5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</si>
  <si>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6</t>
    </r>
    <r>
      <rPr>
        <b/>
        <i/>
        <sz val="11"/>
        <color theme="1"/>
        <rFont val="Calibri"/>
        <family val="2"/>
        <scheme val="minor"/>
      </rPr>
      <t xml:space="preserve"> (1/km)</t>
    </r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</si>
  <si>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7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</si>
  <si>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</si>
  <si>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t>R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b/>
        <i/>
        <sz val="11"/>
        <color theme="1"/>
        <rFont val="Calibri"/>
        <family val="2"/>
        <scheme val="minor"/>
      </rPr>
      <t xml:space="preserve"> (km)</t>
    </r>
  </si>
  <si>
    <r>
      <t>Df</t>
    </r>
    <r>
      <rPr>
        <b/>
        <i/>
        <vertAlign val="subscript"/>
        <sz val="11"/>
        <color theme="1"/>
        <rFont val="Arial"/>
        <family val="2"/>
      </rPr>
      <t>R</t>
    </r>
  </si>
  <si>
    <r>
      <t>Df</t>
    </r>
    <r>
      <rPr>
        <b/>
        <i/>
        <vertAlign val="subscript"/>
        <sz val="11"/>
        <color theme="1"/>
        <rFont val="Arial"/>
        <family val="2"/>
      </rPr>
      <t>V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</si>
  <si>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>1</t>
    </r>
    <r>
      <rPr>
        <b/>
        <i/>
        <sz val="11"/>
        <color theme="1"/>
        <rFont val="Calibri"/>
        <family val="2"/>
        <scheme val="minor"/>
      </rPr>
      <t xml:space="preserve"> (m/s)</t>
    </r>
  </si>
  <si>
    <r>
      <t>V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b/>
        <i/>
        <sz val="11"/>
        <color theme="1"/>
        <rFont val="Calibri"/>
        <family val="2"/>
        <scheme val="minor"/>
      </rPr>
      <t xml:space="preserve"> (m/s)</t>
    </r>
  </si>
  <si>
    <r>
      <rPr>
        <b/>
        <i/>
        <sz val="11"/>
        <color theme="1"/>
        <rFont val="Symbol"/>
        <family val="1"/>
        <charset val="2"/>
      </rPr>
      <t>f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</si>
  <si>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rPr>
        <b/>
        <i/>
        <sz val="11"/>
        <color theme="1"/>
        <rFont val="Symbol"/>
        <family val="1"/>
        <charset val="2"/>
      </rPr>
      <t>f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</si>
  <si>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rPr>
        <b/>
        <i/>
        <sz val="11"/>
        <color theme="1"/>
        <rFont val="Symbol"/>
        <family val="1"/>
        <charset val="2"/>
      </rPr>
      <t>t</t>
    </r>
    <r>
      <rPr>
        <b/>
        <i/>
        <vertAlign val="subscript"/>
        <sz val="11"/>
        <color theme="1"/>
        <rFont val="Calibri"/>
        <family val="2"/>
        <scheme val="minor"/>
      </rPr>
      <t>1</t>
    </r>
  </si>
  <si>
    <r>
      <rPr>
        <b/>
        <i/>
        <sz val="11"/>
        <color theme="1"/>
        <rFont val="Symbol"/>
        <family val="1"/>
        <charset val="2"/>
      </rPr>
      <t>t</t>
    </r>
    <r>
      <rPr>
        <b/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</si>
  <si>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t>SS</t>
  </si>
  <si>
    <t>t(M)</t>
  </si>
  <si>
    <t>f(M)</t>
  </si>
  <si>
    <t>s (M)</t>
  </si>
  <si>
    <r>
      <t>f(M,</t>
    </r>
    <r>
      <rPr>
        <b/>
        <i/>
        <sz val="10"/>
        <rFont val="Arial"/>
        <family val="2"/>
      </rPr>
      <t>R</t>
    </r>
    <r>
      <rPr>
        <b/>
        <i/>
        <vertAlign val="subscript"/>
        <sz val="10"/>
        <rFont val="Arial"/>
        <family val="2"/>
      </rPr>
      <t>JB</t>
    </r>
    <r>
      <rPr>
        <b/>
        <i/>
        <sz val="10"/>
        <rFont val="Arial"/>
        <family val="2"/>
      </rPr>
      <t>,V</t>
    </r>
    <r>
      <rPr>
        <b/>
        <i/>
        <vertAlign val="subscript"/>
        <sz val="10"/>
        <rFont val="Arial"/>
        <family val="2"/>
      </rPr>
      <t>S30</t>
    </r>
    <r>
      <rPr>
        <b/>
        <i/>
        <sz val="10"/>
        <rFont val="Symbol"/>
        <family val="1"/>
        <charset val="2"/>
      </rPr>
      <t>)</t>
    </r>
  </si>
  <si>
    <r>
      <t>f</t>
    </r>
    <r>
      <rPr>
        <b/>
        <i/>
        <sz val="11"/>
        <rFont val="Arial"/>
        <family val="2"/>
      </rPr>
      <t>(M,R)</t>
    </r>
  </si>
  <si>
    <r>
      <t>T</t>
    </r>
    <r>
      <rPr>
        <b/>
        <sz val="11"/>
        <rFont val="Calibri"/>
        <family val="2"/>
        <scheme val="minor"/>
      </rPr>
      <t xml:space="preserve"> (s)</t>
    </r>
  </si>
  <si>
    <t>Visual Basic Calculations</t>
  </si>
  <si>
    <t>a40</t>
  </si>
  <si>
    <t>VLIN</t>
  </si>
  <si>
    <t>a16</t>
  </si>
  <si>
    <t>a43</t>
    <phoneticPr fontId="5" type="noConversion"/>
  </si>
  <si>
    <t>a44</t>
    <phoneticPr fontId="5" type="noConversion"/>
  </si>
  <si>
    <t>a45</t>
    <phoneticPr fontId="5" type="noConversion"/>
  </si>
  <si>
    <t>s1</t>
  </si>
  <si>
    <t>s2</t>
  </si>
  <si>
    <t>=  Closest distance to coseismic rupture (km), used in ASK13, CB13 and CY13. See Figures a, b and c for illustation</t>
  </si>
  <si>
    <r>
      <t>F</t>
    </r>
    <r>
      <rPr>
        <b/>
        <i/>
        <vertAlign val="subscript"/>
        <sz val="10"/>
        <rFont val="Arial"/>
        <family val="2"/>
      </rPr>
      <t>AS</t>
    </r>
  </si>
  <si>
    <t>PACIFIC EARTHQUAKE ENGINEERING RESEARCH CENTER</t>
  </si>
  <si>
    <t xml:space="preserve"> </t>
  </si>
  <si>
    <t>a46</t>
    <phoneticPr fontId="5" type="noConversion"/>
  </si>
  <si>
    <r>
      <t>s</t>
    </r>
    <r>
      <rPr>
        <b/>
        <vertAlign val="subscript"/>
        <sz val="10"/>
        <rFont val="Arial"/>
        <family val="2"/>
      </rPr>
      <t>2,JP</t>
    </r>
  </si>
  <si>
    <t>If unknown use 999</t>
  </si>
  <si>
    <t>Auto calculated</t>
  </si>
  <si>
    <t>U (BSSA13)</t>
  </si>
  <si>
    <t>=  1 for strike slip, automatically updated in the cell</t>
  </si>
  <si>
    <t>= The average shear-wave velocity (m/s) over a subsurface depth of 30 m</t>
  </si>
  <si>
    <r>
      <t xml:space="preserve"> </t>
    </r>
    <r>
      <rPr>
        <b/>
        <i/>
        <sz val="10"/>
        <rFont val="Arial"/>
        <family val="2"/>
      </rPr>
      <t xml:space="preserve"> Dip (deg)</t>
    </r>
  </si>
  <si>
    <t>Dip</t>
  </si>
  <si>
    <t>&lt;- DEFAULT</t>
  </si>
  <si>
    <r>
      <t>R</t>
    </r>
    <r>
      <rPr>
        <b/>
        <i/>
        <vertAlign val="subscript"/>
        <sz val="10"/>
        <rFont val="Arial"/>
        <family val="2"/>
      </rPr>
      <t>rup</t>
    </r>
    <r>
      <rPr>
        <b/>
        <i/>
        <sz val="10"/>
        <rFont val="Arial"/>
        <family val="2"/>
      </rPr>
      <t>(km)</t>
    </r>
  </si>
  <si>
    <r>
      <t>Z</t>
    </r>
    <r>
      <rPr>
        <b/>
        <i/>
        <vertAlign val="subscript"/>
        <sz val="11"/>
        <rFont val="Arial"/>
        <family val="2"/>
      </rPr>
      <t xml:space="preserve">1.0 </t>
    </r>
    <r>
      <rPr>
        <b/>
        <i/>
        <sz val="10"/>
        <rFont val="Arial"/>
        <family val="2"/>
      </rPr>
      <t>(km)</t>
    </r>
  </si>
  <si>
    <t>= The depth to the bottom of the seismogenic crust</t>
  </si>
  <si>
    <t>1 if measured</t>
  </si>
  <si>
    <t>Limits</t>
  </si>
  <si>
    <t>R</t>
  </si>
  <si>
    <t>Vs30</t>
  </si>
  <si>
    <t>ASK14</t>
  </si>
  <si>
    <t>BSSA14</t>
  </si>
  <si>
    <t>CB14</t>
  </si>
  <si>
    <t>CY14</t>
  </si>
  <si>
    <t>I14</t>
  </si>
  <si>
    <t>Damping Scaling Factor (DSF) calculation:</t>
  </si>
  <si>
    <t>Definition:</t>
  </si>
  <si>
    <t>DSF = (Pseudo-Spectral Acceleration for beta damping) / (Pseudo-Spectral Acceleration for 5% damping)</t>
  </si>
  <si>
    <t>Model:</t>
  </si>
  <si>
    <t>ln(DSF) = [ b0 + b1*ln(beta) + b2*((ln(beta))^2) ] + [ b3 + b4*ln(beta) + b5*((ln(beta))^2) ] * M + [ b6 + b7*ln(beta) + b8*((ln(beta))^2) ] * ln(Rrup+1) + epsilon</t>
  </si>
  <si>
    <t xml:space="preserve">Stdv (ln(DSF)) = abs [ a0*ln(beta/5) + a1*((ln(beta/5))^2) ]     </t>
  </si>
  <si>
    <t>User Defined Parameters:</t>
  </si>
  <si>
    <t>M=</t>
  </si>
  <si>
    <t>(moment magnitude)</t>
  </si>
  <si>
    <t>Rrup=</t>
  </si>
  <si>
    <t>(closest distance, km)</t>
  </si>
  <si>
    <t>beta=</t>
  </si>
  <si>
    <t>(damping ratio, %)</t>
  </si>
  <si>
    <t>T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</si>
  <si>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</si>
  <si>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</si>
  <si>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</si>
  <si>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</si>
  <si>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</si>
  <si>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</si>
  <si>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</si>
  <si>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</si>
  <si>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</si>
  <si>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a0</t>
  </si>
  <si>
    <t>SE of sigma</t>
  </si>
  <si>
    <t>const.</t>
  </si>
  <si>
    <t>M term</t>
  </si>
  <si>
    <t>R term</t>
  </si>
  <si>
    <t>ln(DSF)</t>
  </si>
  <si>
    <t>DSF</t>
  </si>
  <si>
    <t>if beta&lt;=5</t>
  </si>
  <si>
    <t>if beta&gt;5</t>
  </si>
  <si>
    <t>Stdv</t>
  </si>
  <si>
    <t>measured</t>
  </si>
  <si>
    <t>inferred</t>
  </si>
  <si>
    <t>Vs30Flag</t>
  </si>
  <si>
    <t>Damping ratio (%)</t>
  </si>
  <si>
    <t>Damping ratio</t>
  </si>
  <si>
    <t>=  Viscous damping ratio (%) See Sanaz et al. (2012) PEER Report</t>
  </si>
  <si>
    <t>Z1.0</t>
  </si>
  <si>
    <t>DEFAULTs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</si>
  <si>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>1.0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</si>
  <si>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tor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</si>
  <si>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hyp</t>
    </r>
    <r>
      <rPr>
        <b/>
        <sz val="11"/>
        <color theme="1"/>
        <rFont val="Calibri"/>
        <family val="2"/>
        <scheme val="minor"/>
      </rPr>
      <t xml:space="preserve"> 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</si>
  <si>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BOR</t>
    </r>
    <r>
      <rPr>
        <b/>
        <sz val="11"/>
        <color theme="1"/>
        <rFont val="Calibri"/>
        <family val="2"/>
        <scheme val="minor"/>
      </rPr>
      <t xml:space="preserve"> (km)</t>
    </r>
  </si>
  <si>
    <t>-</t>
  </si>
  <si>
    <t>M, SS</t>
  </si>
  <si>
    <t>M, RS</t>
  </si>
  <si>
    <t>M, NS</t>
  </si>
  <si>
    <t>Rrup</t>
  </si>
  <si>
    <t>Z2.5</t>
  </si>
  <si>
    <t>Zhyp</t>
  </si>
  <si>
    <t>&gt;= 150 - &lt;= 1500</t>
  </si>
  <si>
    <t>&gt;= 0 - &lt;= 10</t>
  </si>
  <si>
    <t>&lt;= 0 - &lt;= 20</t>
  </si>
  <si>
    <t>&gt;= 0 - &lt;= 300</t>
  </si>
  <si>
    <t>&gt;= 3.3 - &lt;= 7.5</t>
  </si>
  <si>
    <t>&gt;= 3.3 - &lt;=8.0</t>
  </si>
  <si>
    <t>&gt;= 3.3 - &lt;=8.5</t>
  </si>
  <si>
    <t>M (all FM)</t>
  </si>
  <si>
    <t>&gt;= 180, &lt;= 1000</t>
  </si>
  <si>
    <t>dip</t>
  </si>
  <si>
    <t>&gt;= 15 - &lt;= 90</t>
  </si>
  <si>
    <t>Ztor</t>
  </si>
  <si>
    <t>Parameter</t>
  </si>
  <si>
    <t>1/0 (0:Y, 1:N)</t>
  </si>
  <si>
    <t>&gt;= 3.5 - &lt;=8.5</t>
  </si>
  <si>
    <t>&gt;= 3.5 - &lt;=8.0</t>
  </si>
  <si>
    <t>&gt;= 3.5 - &lt;= 8.0</t>
  </si>
  <si>
    <t>&lt;= 20</t>
  </si>
  <si>
    <t>&gt;= 180 - &lt;= 1500</t>
  </si>
  <si>
    <t>&gt;= 3.0 - &lt;=8.5</t>
  </si>
  <si>
    <t>&gt;= 5</t>
  </si>
  <si>
    <t>&lt;= 150</t>
  </si>
  <si>
    <t xml:space="preserve">&gt;= 450 </t>
  </si>
  <si>
    <t>&gt;= 1200 -&gt; 1200</t>
  </si>
  <si>
    <t>&gt;= 3.0 - &lt;=7.0</t>
  </si>
  <si>
    <t>Rjb</t>
  </si>
  <si>
    <t>&gt;= 0 - &lt;= 400</t>
  </si>
  <si>
    <t>&gt;= 0 - &lt;= 3</t>
  </si>
  <si>
    <t>SUM</t>
  </si>
  <si>
    <t>MODEL RANGEs</t>
  </si>
  <si>
    <t>FAS</t>
  </si>
  <si>
    <t>Errors and warnings</t>
  </si>
  <si>
    <t>Input variables</t>
  </si>
  <si>
    <t>Global</t>
  </si>
  <si>
    <t>Calculated Variables/Flags</t>
  </si>
  <si>
    <t>TWA</t>
  </si>
  <si>
    <t>USER defined</t>
  </si>
  <si>
    <r>
      <t>Z</t>
    </r>
    <r>
      <rPr>
        <b/>
        <i/>
        <vertAlign val="subscript"/>
        <sz val="10"/>
        <rFont val="Arial"/>
        <family val="2"/>
      </rPr>
      <t xml:space="preserve">1.0 </t>
    </r>
  </si>
  <si>
    <r>
      <t>Z</t>
    </r>
    <r>
      <rPr>
        <b/>
        <i/>
        <vertAlign val="subscript"/>
        <sz val="10"/>
        <rFont val="Arial"/>
        <family val="2"/>
      </rPr>
      <t xml:space="preserve">2.5 </t>
    </r>
  </si>
  <si>
    <t>= Depth to Vs=1 km/sec</t>
  </si>
  <si>
    <t>= Depth to Vs=2.5 km/sec</t>
  </si>
  <si>
    <r>
      <t xml:space="preserve">   V</t>
    </r>
    <r>
      <rPr>
        <b/>
        <i/>
        <vertAlign val="subscript"/>
        <sz val="10"/>
        <rFont val="Arial"/>
        <family val="2"/>
      </rPr>
      <t>s30flag</t>
    </r>
  </si>
  <si>
    <t>=  1 for measured, 0 for inferred Vs30</t>
  </si>
  <si>
    <t>=   0 for mainshock; 1 for aftershock</t>
  </si>
  <si>
    <t># of std. dev.</t>
  </si>
  <si>
    <t>no</t>
  </si>
  <si>
    <t>Enter for default W calcs</t>
  </si>
  <si>
    <r>
      <t>V</t>
    </r>
    <r>
      <rPr>
        <b/>
        <i/>
        <vertAlign val="subscript"/>
        <sz val="10"/>
        <rFont val="Arial"/>
        <family val="2"/>
      </rPr>
      <t>s30Flag</t>
    </r>
  </si>
  <si>
    <t>=  Directivity term, direct point parameter; uses 0 for median predictions</t>
  </si>
  <si>
    <t>Input variables with defaults (If entered 999 as input):</t>
  </si>
  <si>
    <t>1: hanging wall side</t>
  </si>
  <si>
    <t>1: normal fault</t>
  </si>
  <si>
    <t>1: reverse fault</t>
  </si>
  <si>
    <t>0: Specified fault mech.</t>
  </si>
  <si>
    <r>
      <t>Z</t>
    </r>
    <r>
      <rPr>
        <b/>
        <i/>
        <vertAlign val="subscript"/>
        <sz val="10"/>
        <rFont val="Arial"/>
        <family val="2"/>
      </rPr>
      <t xml:space="preserve">1.0 </t>
    </r>
    <r>
      <rPr>
        <b/>
        <i/>
        <sz val="10"/>
        <rFont val="Arial"/>
        <family val="2"/>
      </rPr>
      <t>(ASK calc)</t>
    </r>
  </si>
  <si>
    <r>
      <rPr>
        <b/>
        <i/>
        <sz val="10"/>
        <rFont val="Symbol"/>
        <family val="1"/>
        <charset val="2"/>
      </rPr>
      <t>d</t>
    </r>
    <r>
      <rPr>
        <b/>
        <i/>
        <sz val="10"/>
        <rFont val="Arial"/>
        <family val="2"/>
      </rPr>
      <t>z</t>
    </r>
    <r>
      <rPr>
        <b/>
        <i/>
        <vertAlign val="subscript"/>
        <sz val="10"/>
        <rFont val="Arial"/>
        <family val="2"/>
      </rPr>
      <t>1</t>
    </r>
  </si>
  <si>
    <r>
      <t>PGA</t>
    </r>
    <r>
      <rPr>
        <b/>
        <i/>
        <vertAlign val="subscript"/>
        <sz val="10"/>
        <rFont val="Arial"/>
        <family val="2"/>
      </rPr>
      <t>r</t>
    </r>
    <r>
      <rPr>
        <b/>
        <i/>
        <sz val="10"/>
        <rFont val="Arial"/>
        <family val="2"/>
      </rPr>
      <t xml:space="preserve"> (g)</t>
    </r>
  </si>
  <si>
    <t>0: DEFAULT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</si>
  <si>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>2.5</t>
    </r>
    <r>
      <rPr>
        <b/>
        <sz val="11"/>
        <color theme="1"/>
        <rFont val="Calibri"/>
        <family val="2"/>
        <scheme val="minor"/>
      </rPr>
      <t xml:space="preserve"> (V</t>
    </r>
    <r>
      <rPr>
        <b/>
        <vertAlign val="subscript"/>
        <sz val="11"/>
        <color theme="1"/>
        <rFont val="Calibri"/>
        <family val="2"/>
        <scheme val="minor"/>
      </rPr>
      <t>S30</t>
    </r>
    <r>
      <rPr>
        <b/>
        <sz val="11"/>
        <color theme="1"/>
        <rFont val="Calibri"/>
        <family val="2"/>
        <scheme val="minor"/>
      </rPr>
      <t>=1100)(km)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</si>
  <si>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2.5</t>
    </r>
    <r>
      <rPr>
        <b/>
        <sz val="11"/>
        <color theme="1"/>
        <rFont val="Calibri"/>
        <family val="2"/>
        <scheme val="minor"/>
      </rPr>
      <t xml:space="preserve"> (V</t>
    </r>
    <r>
      <rPr>
        <b/>
        <vertAlign val="subscript"/>
        <sz val="11"/>
        <color theme="1"/>
        <rFont val="Calibri"/>
        <family val="2"/>
        <scheme val="minor"/>
      </rPr>
      <t>S30</t>
    </r>
    <r>
      <rPr>
        <b/>
        <sz val="11"/>
        <color theme="1"/>
        <rFont val="Calibri"/>
        <family val="2"/>
        <scheme val="minor"/>
      </rPr>
      <t>)(km)</t>
    </r>
  </si>
  <si>
    <t>Arithmetic</t>
  </si>
  <si>
    <t>Sa value</t>
  </si>
  <si>
    <t>Option for Sa value</t>
  </si>
  <si>
    <r>
      <t xml:space="preserve">   S</t>
    </r>
    <r>
      <rPr>
        <b/>
        <i/>
        <vertAlign val="subscript"/>
        <sz val="10"/>
        <rFont val="Arial"/>
        <family val="2"/>
      </rPr>
      <t>d</t>
    </r>
  </si>
  <si>
    <t>Legend</t>
  </si>
  <si>
    <t>Main input variable</t>
  </si>
  <si>
    <t>Calculated variable</t>
  </si>
  <si>
    <t>Input var. flag</t>
  </si>
  <si>
    <t>GMPEs</t>
  </si>
  <si>
    <t>Weight</t>
  </si>
  <si>
    <t>Pre-defined option</t>
  </si>
  <si>
    <t>Internal variable</t>
  </si>
  <si>
    <r>
      <t>PSa (g),   S</t>
    </r>
    <r>
      <rPr>
        <b/>
        <vertAlign val="subscript"/>
        <sz val="11"/>
        <rFont val="Calibri"/>
        <family val="2"/>
        <scheme val="minor"/>
      </rPr>
      <t>d</t>
    </r>
    <r>
      <rPr>
        <b/>
        <sz val="11"/>
        <rFont val="Calibri"/>
        <family val="2"/>
        <scheme val="minor"/>
      </rPr>
      <t xml:space="preserve"> (cm)</t>
    </r>
  </si>
  <si>
    <t>I_14 (M, Rrup, F, Vs30, T)</t>
  </si>
  <si>
    <t>IDRISS NGA-WEST2 MODEL COEFFICIENTS [I14] (MAY 2013, PEER REPORT 2013/08):</t>
  </si>
  <si>
    <t>CAMPBELL-BOZORGNIA NGA-WEST2 MODEL COEFFICIENTS [CB14] (EQS 2013) &amp; c0 updates:</t>
  </si>
  <si>
    <t>BOORE - STEWART - SEYHAN - ATKINSON - NGA-WEST2 MODEL COEFFICIENTS [BSSA14] (EQS 2013) &amp; sigma updates:</t>
  </si>
  <si>
    <t>ASK_14 (M, Rrup, Rjb, Rx, Frv, Fnm, Fhw, FAS, Ztor, W, dip, Vs30, Z1, Ry0, Region, T)</t>
  </si>
  <si>
    <t>BSSA_14 (M, Rjb, U, RS, NS, Vs30, Region, Z1, PGAr, T)</t>
  </si>
  <si>
    <t>CY_14 (M, Rrup, Rjb, Rx, Vs30, Frv, Fnm, Fhw, del, Ztor, Region, Z1, DDPP, T)</t>
  </si>
  <si>
    <t>PSa (g)</t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</si>
  <si>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Z</t>
    </r>
    <r>
      <rPr>
        <b/>
        <vertAlign val="subscript"/>
        <sz val="11"/>
        <color theme="1"/>
        <rFont val="Calibri"/>
        <family val="2"/>
        <scheme val="minor"/>
      </rPr>
      <t>1.0</t>
    </r>
    <r>
      <rPr>
        <b/>
        <sz val="11"/>
        <color theme="1"/>
        <rFont val="Calibri"/>
        <family val="2"/>
        <scheme val="minor"/>
      </rPr>
      <t xml:space="preserve"> (km)</t>
    </r>
  </si>
  <si>
    <t>‐</t>
  </si>
  <si>
    <t>‐0.01</t>
  </si>
  <si>
    <t>‐0.02</t>
  </si>
  <si>
    <t>‐0.03</t>
  </si>
  <si>
    <t>‐0.06</t>
  </si>
  <si>
    <t>‐0.07</t>
  </si>
  <si>
    <t>‐0.08</t>
  </si>
  <si>
    <t>‐0.09</t>
  </si>
  <si>
    <t>‐0.14</t>
  </si>
  <si>
    <t>‐0.15</t>
  </si>
  <si>
    <t>‐0.17</t>
  </si>
  <si>
    <t>‐0.21</t>
  </si>
  <si>
    <t>‐0.22</t>
  </si>
  <si>
    <t>‐0.16</t>
  </si>
  <si>
    <t>‐0.18</t>
  </si>
  <si>
    <t>‐0.19</t>
  </si>
  <si>
    <t>‐0.20</t>
  </si>
  <si>
    <t>‐0.10</t>
  </si>
  <si>
    <t>‐0.12</t>
  </si>
  <si>
    <t>‐0.11</t>
  </si>
  <si>
    <t>‐0.13</t>
  </si>
  <si>
    <t>‐0.23</t>
  </si>
  <si>
    <t>‐0.28</t>
  </si>
  <si>
    <t>‐0.30</t>
  </si>
  <si>
    <t>‐0.32</t>
  </si>
  <si>
    <t>‐0.34</t>
  </si>
  <si>
    <t>‐0.24</t>
  </si>
  <si>
    <t>‐0.29</t>
  </si>
  <si>
    <t>‐0.35</t>
  </si>
  <si>
    <t>‐0.37</t>
  </si>
  <si>
    <t>‐0.27</t>
  </si>
  <si>
    <t>‐0.40</t>
  </si>
  <si>
    <t>‐0.43</t>
  </si>
  <si>
    <t>‐0.44</t>
  </si>
  <si>
    <t>‐0.33</t>
  </si>
  <si>
    <t>‐0.42</t>
  </si>
  <si>
    <t>‐0.46</t>
  </si>
  <si>
    <t>‐0.49</t>
  </si>
  <si>
    <t>‐0.51</t>
  </si>
  <si>
    <t>‐0.39</t>
  </si>
  <si>
    <t>‐0.48</t>
  </si>
  <si>
    <t>‐0.50</t>
  </si>
  <si>
    <t>‐0.36</t>
  </si>
  <si>
    <t>‐0.38</t>
  </si>
  <si>
    <t>‐0.41</t>
  </si>
  <si>
    <t>‐0.45</t>
  </si>
  <si>
    <t>‐0.47</t>
  </si>
  <si>
    <t>‐0.53</t>
  </si>
  <si>
    <t>‐0.55</t>
  </si>
  <si>
    <t>‐0.57</t>
  </si>
  <si>
    <t>‐0.58</t>
  </si>
  <si>
    <t>‐0.59</t>
  </si>
  <si>
    <t>‐0.52</t>
  </si>
  <si>
    <t xml:space="preserve"> I.M. Idriss, Yousef Bozorgnia, Ken Campbell, Norm Abrahamson, Walt Silva</t>
  </si>
  <si>
    <t xml:space="preserve"> By: Sanaz Rezaeian (sanazr128@yahoo.com)</t>
  </si>
  <si>
    <t>CB_14 (M, Rrup, Rjb, Rx, Frv, Fnm, Fhw,Ztor, W, del, Vs30, Z25, Zhyp, Wd, Zhypd, Region, A, T)</t>
  </si>
  <si>
    <t>Idriss 2014 NGA West-2 Model</t>
  </si>
  <si>
    <t>Chiou &amp; Youngs 2014 NGA West-2 Model</t>
  </si>
  <si>
    <t>Campbell &amp; Bozorgnia 2014 NGA West-2 Model</t>
  </si>
  <si>
    <t>Abrahamson &amp; Silva &amp; Kamai 2014 NGA West-2 Model</t>
  </si>
  <si>
    <t>Boore &amp; Stewart &amp; Seyhan &amp; Atkinson 2014 NGA West-2 Model</t>
  </si>
  <si>
    <r>
      <t>PGA</t>
    </r>
    <r>
      <rPr>
        <b/>
        <i/>
        <vertAlign val="subscript"/>
        <sz val="10"/>
        <rFont val="Arial"/>
        <family val="2"/>
      </rPr>
      <t>r</t>
    </r>
    <r>
      <rPr>
        <b/>
        <i/>
        <sz val="10"/>
        <rFont val="Arial"/>
        <family val="2"/>
      </rPr>
      <t xml:space="preserve"> (g) </t>
    </r>
  </si>
  <si>
    <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 xml:space="preserve"> (km)</t>
    </r>
  </si>
  <si>
    <r>
      <t>Z</t>
    </r>
    <r>
      <rPr>
        <b/>
        <i/>
        <vertAlign val="subscript"/>
        <sz val="10"/>
        <rFont val="Arial"/>
        <family val="2"/>
      </rPr>
      <t>BOR</t>
    </r>
    <r>
      <rPr>
        <b/>
        <i/>
        <sz val="10"/>
        <rFont val="Arial"/>
        <family val="2"/>
      </rPr>
      <t xml:space="preserve">(km) </t>
    </r>
  </si>
  <si>
    <t>= The depth to the bottom of the rupture plane</t>
  </si>
  <si>
    <t>Horizontal GMPEs Parameters</t>
  </si>
  <si>
    <t>Magnitude</t>
  </si>
  <si>
    <r>
      <t>M</t>
    </r>
    <r>
      <rPr>
        <vertAlign val="subscript"/>
        <sz val="11"/>
        <color theme="1"/>
        <rFont val="Calibri"/>
        <family val="2"/>
        <scheme val="minor"/>
      </rPr>
      <t>w</t>
    </r>
  </si>
  <si>
    <r>
      <t>Z</t>
    </r>
    <r>
      <rPr>
        <vertAlign val="subscript"/>
        <sz val="11"/>
        <color theme="1"/>
        <rFont val="Calibri"/>
        <family val="2"/>
        <scheme val="minor"/>
      </rPr>
      <t>tor</t>
    </r>
  </si>
  <si>
    <t>Style of faulting</t>
  </si>
  <si>
    <t>Dip (deg)</t>
  </si>
  <si>
    <t>Top of Rupture (km)</t>
  </si>
  <si>
    <t>Closest distance to rupture(km)</t>
  </si>
  <si>
    <r>
      <t>R</t>
    </r>
    <r>
      <rPr>
        <vertAlign val="subscript"/>
        <sz val="11"/>
        <color theme="1"/>
        <rFont val="Calibri"/>
        <family val="2"/>
        <scheme val="minor"/>
      </rPr>
      <t>rup</t>
    </r>
  </si>
  <si>
    <r>
      <t>R</t>
    </r>
    <r>
      <rPr>
        <vertAlign val="subscript"/>
        <sz val="11"/>
        <color theme="1"/>
        <rFont val="Calibri"/>
        <family val="2"/>
        <scheme val="minor"/>
      </rPr>
      <t>JB</t>
    </r>
  </si>
  <si>
    <t>Hanging wall model</t>
  </si>
  <si>
    <r>
      <t>(R</t>
    </r>
    <r>
      <rPr>
        <vertAlign val="subscript"/>
        <sz val="11"/>
        <color theme="1"/>
        <rFont val="Calibri"/>
        <family val="2"/>
        <scheme val="minor"/>
      </rPr>
      <t>JB</t>
    </r>
    <r>
      <rPr>
        <sz val="11"/>
        <color theme="1"/>
        <rFont val="Calibri"/>
        <family val="2"/>
        <scheme val="minor"/>
      </rPr>
      <t>)</t>
    </r>
  </si>
  <si>
    <r>
      <t>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(m/s)</t>
    </r>
  </si>
  <si>
    <t>Depth to Vs (km)</t>
  </si>
  <si>
    <r>
      <t>Z</t>
    </r>
    <r>
      <rPr>
        <vertAlign val="subscript"/>
        <sz val="11"/>
        <color theme="1"/>
        <rFont val="Calibri"/>
        <family val="2"/>
        <scheme val="minor"/>
      </rPr>
      <t>1.0</t>
    </r>
  </si>
  <si>
    <r>
      <t>Z</t>
    </r>
    <r>
      <rPr>
        <vertAlign val="subscript"/>
        <sz val="11"/>
        <color theme="1"/>
        <rFont val="Calibri"/>
        <family val="2"/>
        <scheme val="minor"/>
      </rPr>
      <t>2.5</t>
    </r>
  </si>
  <si>
    <r>
      <t>Z</t>
    </r>
    <r>
      <rPr>
        <vertAlign val="subscript"/>
        <sz val="11"/>
        <color theme="1"/>
        <rFont val="Calibri"/>
        <family val="2"/>
        <scheme val="minor"/>
      </rPr>
      <t>1.0</t>
    </r>
    <r>
      <rPr>
        <sz val="11"/>
        <color theme="1"/>
        <rFont val="Calibri"/>
        <family val="2"/>
        <scheme val="minor"/>
      </rPr>
      <t xml:space="preserve">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z</t>
    </r>
    <r>
      <rPr>
        <vertAlign val="subscript"/>
        <sz val="11"/>
        <color theme="1"/>
        <rFont val="Calibri"/>
        <family val="2"/>
        <scheme val="minor"/>
      </rPr>
      <t>1.0</t>
    </r>
    <r>
      <rPr>
        <sz val="11"/>
        <color theme="1"/>
        <rFont val="Calibri"/>
        <family val="2"/>
        <scheme val="minor"/>
      </rPr>
      <t>)</t>
    </r>
  </si>
  <si>
    <t>Hypocentral depth (km)</t>
  </si>
  <si>
    <r>
      <t>Z</t>
    </r>
    <r>
      <rPr>
        <vertAlign val="subscript"/>
        <sz val="11"/>
        <color theme="1"/>
        <rFont val="Calibri"/>
        <family val="2"/>
        <scheme val="minor"/>
      </rPr>
      <t>hyp</t>
    </r>
  </si>
  <si>
    <t xml:space="preserve">Directivity term </t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</si>
  <si>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DPP</t>
    </r>
  </si>
  <si>
    <t>Hor. dist. to surface proj. (km)</t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</si>
  <si>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</si>
  <si>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t>Regional variations</t>
  </si>
  <si>
    <r>
      <t>(Z</t>
    </r>
    <r>
      <rPr>
        <vertAlign val="subscript"/>
        <sz val="11"/>
        <color theme="1"/>
        <rFont val="Calibri"/>
        <family val="2"/>
        <scheme val="minor"/>
      </rPr>
      <t>hyp</t>
    </r>
    <r>
      <rPr>
        <sz val="11"/>
        <color theme="1"/>
        <rFont val="Calibri"/>
        <family val="2"/>
        <scheme val="minor"/>
      </rPr>
      <t>)</t>
    </r>
  </si>
  <si>
    <r>
      <t>R</t>
    </r>
    <r>
      <rPr>
        <vertAlign val="subscript"/>
        <sz val="11"/>
        <color theme="1"/>
        <rFont val="Calibri"/>
        <family val="2"/>
        <scheme val="minor"/>
      </rPr>
      <t>y0</t>
    </r>
  </si>
  <si>
    <t>Aftershock factor</t>
  </si>
  <si>
    <t>Hor. dist. from edge of rupture (km)</t>
  </si>
  <si>
    <t xml:space="preserve">Hor. dist. off end of  rupture (km) </t>
  </si>
  <si>
    <t>Region codes</t>
  </si>
  <si>
    <t>Info</t>
  </si>
  <si>
    <t>See table of default in Main Sheet</t>
  </si>
  <si>
    <t>U = 1 if fault is unspecified</t>
  </si>
  <si>
    <t>See the table above</t>
  </si>
  <si>
    <r>
      <t>If entered R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&lt; 0, F</t>
    </r>
    <r>
      <rPr>
        <vertAlign val="subscript"/>
        <sz val="11"/>
        <color theme="1"/>
        <rFont val="Calibri"/>
        <family val="2"/>
        <scheme val="minor"/>
      </rPr>
      <t>HW</t>
    </r>
    <r>
      <rPr>
        <sz val="11"/>
        <color theme="1"/>
        <rFont val="Calibri"/>
        <family val="2"/>
        <scheme val="minor"/>
      </rPr>
      <t xml:space="preserve"> is 0</t>
    </r>
  </si>
  <si>
    <t>NA</t>
  </si>
  <si>
    <t>5%</t>
  </si>
  <si>
    <t>0.5%</t>
  </si>
  <si>
    <t>1%</t>
  </si>
  <si>
    <t>2%</t>
  </si>
  <si>
    <t>3%</t>
  </si>
  <si>
    <t>7%</t>
  </si>
  <si>
    <t>10%</t>
  </si>
  <si>
    <t>15%</t>
  </si>
  <si>
    <t>20%</t>
  </si>
  <si>
    <t>25%</t>
  </si>
  <si>
    <t>30%</t>
  </si>
  <si>
    <r>
      <t>V</t>
    </r>
    <r>
      <rPr>
        <vertAlign val="subscript"/>
        <sz val="11"/>
        <color theme="1"/>
        <rFont val="Calibri"/>
        <family val="2"/>
        <scheme val="minor"/>
      </rPr>
      <t>S30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</si>
  <si>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(SS)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</si>
  <si>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(RS)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</si>
  <si>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(NM)</t>
    </r>
  </si>
  <si>
    <r>
      <t>R</t>
    </r>
    <r>
      <rPr>
        <vertAlign val="subscript"/>
        <sz val="11"/>
        <color theme="1"/>
        <rFont val="Calibri"/>
        <family val="2"/>
        <scheme val="minor"/>
      </rPr>
      <t>jb</t>
    </r>
  </si>
  <si>
    <r>
      <t>M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 xml:space="preserve"> (All FM)</t>
    </r>
  </si>
  <si>
    <t>= Peak ground acceleration on rock (g), this specific cell is updated in the cell for BSSA14 and CB14, for others it is taken account for in the macros</t>
  </si>
  <si>
    <t>= Specific regions considered in the models, Click on Region to see codes</t>
  </si>
  <si>
    <t>=  Fault rupture width (km)</t>
  </si>
  <si>
    <t>=  Depth to top of coseismic rupture (km)</t>
  </si>
  <si>
    <t>=  Hypocentral depth from the earthquake</t>
  </si>
  <si>
    <t>=  Average dip of rupture plane (degrees)</t>
  </si>
  <si>
    <t>=  Hanging-wall factor:  1 for site on down-dip side of top of rupture; 0 otherwise</t>
  </si>
  <si>
    <t>=  Unspecified-mechanism factor:  1 for unspecified; 0 otherwise</t>
  </si>
  <si>
    <t>=  The horizontal distance off the end of the rupture measured parallel to 
strike (km)</t>
  </si>
  <si>
    <t>=  Horizontal distance from top of rupture measured perpendicular to fault strike (km). See Figures a, b and c for illustation</t>
  </si>
  <si>
    <t>=  Relative displacement response spectrum (cm)</t>
  </si>
  <si>
    <t>=  Pseudo-absolute acceleration response spectrum (g)</t>
  </si>
  <si>
    <r>
      <t>R</t>
    </r>
    <r>
      <rPr>
        <b/>
        <i/>
        <vertAlign val="subscript"/>
        <sz val="10"/>
        <rFont val="Arial"/>
        <family val="2"/>
      </rPr>
      <t>y0</t>
    </r>
  </si>
  <si>
    <t>1: Unspecified fault mech.</t>
  </si>
  <si>
    <t>Base</t>
  </si>
  <si>
    <t>Geometric</t>
  </si>
  <si>
    <r>
      <t>S</t>
    </r>
    <r>
      <rPr>
        <b/>
        <vertAlign val="subscript"/>
        <sz val="11"/>
        <rFont val="Calibri"/>
        <family val="2"/>
        <scheme val="minor"/>
      </rPr>
      <t>d</t>
    </r>
    <r>
      <rPr>
        <b/>
        <sz val="11"/>
        <rFont val="Calibri"/>
        <family val="2"/>
        <scheme val="minor"/>
      </rPr>
      <t xml:space="preserve"> Median for 5% damping</t>
    </r>
  </si>
  <si>
    <t>ACKNOWLEDGEMENTS</t>
  </si>
  <si>
    <t xml:space="preserve">Always 0 for median calcs. </t>
  </si>
  <si>
    <t>Italy</t>
  </si>
  <si>
    <r>
      <t>Linear R term, no 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scaling</t>
    </r>
  </si>
  <si>
    <r>
      <t>Linear R term, V</t>
    </r>
    <r>
      <rPr>
        <vertAlign val="subscript"/>
        <sz val="11"/>
        <color theme="1"/>
        <rFont val="Calibri"/>
        <family val="2"/>
        <scheme val="minor"/>
      </rPr>
      <t>s30</t>
    </r>
    <r>
      <rPr>
        <sz val="11"/>
        <color theme="1"/>
        <rFont val="Calibri"/>
        <family val="2"/>
        <scheme val="minor"/>
      </rPr>
      <t xml:space="preserve"> scaling</t>
    </r>
  </si>
  <si>
    <t xml:space="preserve">Anelastic Attenuation </t>
  </si>
  <si>
    <t xml:space="preserve"> Sigma</t>
  </si>
  <si>
    <t xml:space="preserve">Anelas. Attenuation, shallow site effects, and basin effects </t>
  </si>
  <si>
    <t>Anelas. attenuation, basin depth</t>
  </si>
  <si>
    <t>Basin depth, sigma</t>
  </si>
  <si>
    <r>
      <t>F</t>
    </r>
    <r>
      <rPr>
        <vertAlign val="subscript"/>
        <sz val="11"/>
        <color theme="1"/>
        <rFont val="Calibri"/>
        <family val="2"/>
        <scheme val="minor"/>
      </rPr>
      <t>AS</t>
    </r>
  </si>
  <si>
    <r>
      <t>F</t>
    </r>
    <r>
      <rPr>
        <vertAlign val="subscript"/>
        <sz val="11"/>
        <color theme="1"/>
        <rFont val="Calibri"/>
        <family val="2"/>
        <scheme val="minor"/>
      </rPr>
      <t>HW</t>
    </r>
  </si>
  <si>
    <r>
      <t>M</t>
    </r>
    <r>
      <rPr>
        <b/>
        <vertAlign val="subscript"/>
        <sz val="12"/>
        <rFont val="Times New Roman"/>
        <family val="1"/>
      </rPr>
      <t>w</t>
    </r>
  </si>
  <si>
    <r>
      <rPr>
        <b/>
        <sz val="11"/>
        <color theme="1"/>
        <rFont val="Calibri"/>
        <family val="2"/>
        <scheme val="minor"/>
      </rPr>
      <t>Weights:</t>
    </r>
    <r>
      <rPr>
        <sz val="11"/>
        <color theme="1"/>
        <rFont val="Calibri"/>
        <family val="2"/>
        <scheme val="minor"/>
      </rPr>
      <t xml:space="preserve"> It is standard practice to normalize the weights for the GMPEs to add up to 1, however the program automatically normalizes them internally.</t>
    </r>
  </si>
  <si>
    <r>
      <t>V</t>
    </r>
    <r>
      <rPr>
        <i/>
        <vertAlign val="subscript"/>
        <sz val="11"/>
        <color theme="1"/>
        <rFont val="Calibri"/>
        <family val="2"/>
        <scheme val="minor"/>
      </rPr>
      <t>S30</t>
    </r>
    <r>
      <rPr>
        <i/>
        <sz val="11"/>
        <color theme="1"/>
        <rFont val="Calibri"/>
        <family val="2"/>
        <scheme val="minor"/>
      </rPr>
      <t xml:space="preserve"> for reference rock (m/s)</t>
    </r>
  </si>
  <si>
    <t>Down-dip rupture width (km)</t>
  </si>
  <si>
    <r>
      <t>F</t>
    </r>
    <r>
      <rPr>
        <vertAlign val="subscript"/>
        <sz val="11"/>
        <color theme="1"/>
        <rFont val="Calibri"/>
        <family val="2"/>
        <scheme val="minor"/>
      </rPr>
      <t>RV</t>
    </r>
    <r>
      <rPr>
        <sz val="11"/>
        <color theme="1"/>
        <rFont val="Calibri"/>
        <family val="2"/>
        <scheme val="minor"/>
      </rPr>
      <t>,F</t>
    </r>
    <r>
      <rPr>
        <vertAlign val="subscript"/>
        <sz val="11"/>
        <color theme="1"/>
        <rFont val="Calibri"/>
        <family val="2"/>
        <scheme val="minor"/>
      </rPr>
      <t>NM</t>
    </r>
    <r>
      <rPr>
        <sz val="11"/>
        <color theme="1"/>
        <rFont val="Calibri"/>
        <family val="2"/>
        <scheme val="minor"/>
      </rPr>
      <t>,SS</t>
    </r>
  </si>
  <si>
    <r>
      <t>U, F</t>
    </r>
    <r>
      <rPr>
        <vertAlign val="subscript"/>
        <sz val="11"/>
        <color theme="1"/>
        <rFont val="Calibri"/>
        <family val="2"/>
        <scheme val="minor"/>
      </rPr>
      <t>RV</t>
    </r>
    <r>
      <rPr>
        <sz val="11"/>
        <color theme="1"/>
        <rFont val="Calibri"/>
        <family val="2"/>
        <scheme val="minor"/>
      </rPr>
      <t>,F</t>
    </r>
    <r>
      <rPr>
        <vertAlign val="subscript"/>
        <sz val="11"/>
        <color theme="1"/>
        <rFont val="Calibri"/>
        <family val="2"/>
        <scheme val="minor"/>
      </rPr>
      <t>NM</t>
    </r>
    <r>
      <rPr>
        <sz val="11"/>
        <color theme="1"/>
        <rFont val="Calibri"/>
        <family val="2"/>
        <scheme val="minor"/>
      </rPr>
      <t>,SS</t>
    </r>
  </si>
  <si>
    <r>
      <t>Z</t>
    </r>
    <r>
      <rPr>
        <b/>
        <i/>
        <vertAlign val="subscript"/>
        <sz val="10"/>
        <rFont val="Arial"/>
        <family val="2"/>
      </rPr>
      <t>HYP</t>
    </r>
    <r>
      <rPr>
        <b/>
        <i/>
        <sz val="10"/>
        <rFont val="Arial"/>
        <family val="2"/>
      </rPr>
      <t xml:space="preserve"> (km)</t>
    </r>
  </si>
  <si>
    <r>
      <t xml:space="preserve">   M</t>
    </r>
    <r>
      <rPr>
        <b/>
        <i/>
        <vertAlign val="subscript"/>
        <sz val="10"/>
        <rFont val="Arial"/>
        <family val="2"/>
      </rPr>
      <t>w</t>
    </r>
  </si>
  <si>
    <t>Baseline: 5% Damping</t>
  </si>
  <si>
    <t>GMPE averaging</t>
  </si>
  <si>
    <t>WEIGHTED AVERAGE of 2014 NGA WEST-2 GMPEs</t>
  </si>
  <si>
    <t>China</t>
  </si>
  <si>
    <t>Japan</t>
  </si>
  <si>
    <t>Taiwan</t>
  </si>
  <si>
    <t>Turkey</t>
  </si>
  <si>
    <t>California</t>
  </si>
  <si>
    <t>New Zealand</t>
  </si>
  <si>
    <r>
      <t>Z</t>
    </r>
    <r>
      <rPr>
        <b/>
        <i/>
        <vertAlign val="subscript"/>
        <sz val="10"/>
        <rFont val="Arial"/>
        <family val="2"/>
      </rPr>
      <t>BOT</t>
    </r>
    <r>
      <rPr>
        <b/>
        <i/>
        <sz val="10"/>
        <rFont val="Arial"/>
        <family val="2"/>
      </rPr>
      <t xml:space="preserve"> (km) (CB14)</t>
    </r>
  </si>
  <si>
    <r>
      <rPr>
        <b/>
        <sz val="11"/>
        <color theme="1"/>
        <rFont val="Calibri"/>
        <family val="2"/>
        <scheme val="minor"/>
      </rPr>
      <t xml:space="preserve">Damping: </t>
    </r>
    <r>
      <rPr>
        <sz val="11"/>
        <color theme="1"/>
        <rFont val="Calibri"/>
        <family val="2"/>
        <scheme val="minor"/>
      </rPr>
      <t>Different damping values are referenced in the Sheet "DSF".</t>
    </r>
  </si>
  <si>
    <t>GMPE</t>
  </si>
  <si>
    <t>Model Limits for Horizontal GMPEs</t>
  </si>
  <si>
    <r>
      <t>ABRAHAMSON - SILVA - KAMAI NGA-WEST2 MODEL COEFFICIENTS [ASK14] (EQS 2014) &amp; Dec13 Revisions</t>
    </r>
    <r>
      <rPr>
        <b/>
        <i/>
        <sz val="11"/>
        <color theme="1"/>
        <rFont val="Calibri"/>
        <family val="2"/>
        <scheme val="minor"/>
      </rPr>
      <t xml:space="preserve"> (Kamai, pers. comm.):</t>
    </r>
  </si>
  <si>
    <t>CHIOU - YOUNGS NGA-WEST2 MODEL COEFFICIENTS [CY14] (DEC 2014, EQS):</t>
  </si>
  <si>
    <t>auto calculated</t>
  </si>
  <si>
    <r>
      <rPr>
        <b/>
        <sz val="12"/>
        <color theme="1"/>
        <rFont val="Calibri"/>
        <family val="2"/>
        <scheme val="minor"/>
      </rPr>
      <t>For the use of DSF in Main Sheet:</t>
    </r>
    <r>
      <rPr>
        <sz val="12"/>
        <color theme="1"/>
        <rFont val="Calibri"/>
        <family val="2"/>
        <scheme val="minor"/>
      </rPr>
      <t xml:space="preserve"> It is assumed that standard deviation of GMPE is the same for 5% and B%</t>
    </r>
  </si>
  <si>
    <r>
      <t xml:space="preserve">RotD50 Horizontal Component of PGA, PGV and </t>
    </r>
    <r>
      <rPr>
        <b/>
        <i/>
        <sz val="14"/>
        <rFont val="Arial"/>
        <family val="2"/>
      </rPr>
      <t>IMs</t>
    </r>
  </si>
  <si>
    <t>This excel file will be updated as necessary on the PEER website to fix any typos or other errors.  Please check the website frequently for new versions at: http://peer.berkeley.edu/ngawest2/databases/</t>
  </si>
  <si>
    <t>0.4534</t>
  </si>
  <si>
    <t>0.4916</t>
  </si>
  <si>
    <t>0.2519</t>
  </si>
  <si>
    <t>0.4599</t>
  </si>
  <si>
    <t>1.421</t>
  </si>
  <si>
    <t>0.04932</t>
  </si>
  <si>
    <t>-0.1659</t>
  </si>
  <si>
    <t>5.5</t>
  </si>
  <si>
    <t>4.5</t>
  </si>
  <si>
    <t>1</t>
  </si>
  <si>
    <t>0.48598</t>
  </si>
  <si>
    <t>0.52359</t>
  </si>
  <si>
    <t>0.29707</t>
  </si>
  <si>
    <t>0.48875</t>
  </si>
  <si>
    <t>1.4331</t>
  </si>
  <si>
    <t>0.053388</t>
  </si>
  <si>
    <t>-0.16561</t>
  </si>
  <si>
    <t>0.56916</t>
  </si>
  <si>
    <t>0.6092</t>
  </si>
  <si>
    <t>0.40391</t>
  </si>
  <si>
    <t>0.55783</t>
  </si>
  <si>
    <t>1.4261</t>
  </si>
  <si>
    <t>0.061444</t>
  </si>
  <si>
    <t>-0.1669</t>
  </si>
  <si>
    <t>4.49</t>
  </si>
  <si>
    <t>0.75436</t>
  </si>
  <si>
    <t>0.79905</t>
  </si>
  <si>
    <t>0.60652</t>
  </si>
  <si>
    <t>0.72726</t>
  </si>
  <si>
    <t>1.3974</t>
  </si>
  <si>
    <t>0.067357</t>
  </si>
  <si>
    <t>-0.18082</t>
  </si>
  <si>
    <t>4.2</t>
  </si>
  <si>
    <t>0.96447</t>
  </si>
  <si>
    <t>1.0077</t>
  </si>
  <si>
    <t>0.77678</t>
  </si>
  <si>
    <t>0.9563</t>
  </si>
  <si>
    <t>1.4174</t>
  </si>
  <si>
    <t>0.073549</t>
  </si>
  <si>
    <t>-0.19665</t>
  </si>
  <si>
    <t>4.04</t>
  </si>
  <si>
    <t>1.1268</t>
  </si>
  <si>
    <t>1.1669</t>
  </si>
  <si>
    <t>0.8871</t>
  </si>
  <si>
    <t>1.1454</t>
  </si>
  <si>
    <t>1.4293</t>
  </si>
  <si>
    <t>0.055231</t>
  </si>
  <si>
    <t>-0.19838</t>
  </si>
  <si>
    <t>5.54</t>
  </si>
  <si>
    <t>4.13</t>
  </si>
  <si>
    <t>1.3095</t>
  </si>
  <si>
    <t>1.3481</t>
  </si>
  <si>
    <t>1.0648</t>
  </si>
  <si>
    <t>1.3324</t>
  </si>
  <si>
    <t>1.2844</t>
  </si>
  <si>
    <t>-0.042065</t>
  </si>
  <si>
    <t>-0.18234</t>
  </si>
  <si>
    <t>5.74</t>
  </si>
  <si>
    <t>4.39</t>
  </si>
  <si>
    <t>1.3255</t>
  </si>
  <si>
    <t>1.359</t>
  </si>
  <si>
    <t>1.122</t>
  </si>
  <si>
    <t>1.3414</t>
  </si>
  <si>
    <t>1.1349</t>
  </si>
  <si>
    <t>-0.11096</t>
  </si>
  <si>
    <t>-0.15852</t>
  </si>
  <si>
    <t>5.92</t>
  </si>
  <si>
    <t>4.61</t>
  </si>
  <si>
    <t>1.2766</t>
  </si>
  <si>
    <t>1.3017</t>
  </si>
  <si>
    <t>1.0828</t>
  </si>
  <si>
    <t>1.3052</t>
  </si>
  <si>
    <t>1.0166</t>
  </si>
  <si>
    <t>-0.16213</t>
  </si>
  <si>
    <t>-0.12784</t>
  </si>
  <si>
    <t>6.05</t>
  </si>
  <si>
    <t>4.78</t>
  </si>
  <si>
    <t>1.2217</t>
  </si>
  <si>
    <t>1.2401</t>
  </si>
  <si>
    <t>1.0246</t>
  </si>
  <si>
    <t>1.2653</t>
  </si>
  <si>
    <t>0.95676</t>
  </si>
  <si>
    <t>-0.1959</t>
  </si>
  <si>
    <t>-0.092855</t>
  </si>
  <si>
    <t>6.14</t>
  </si>
  <si>
    <t>4.93</t>
  </si>
  <si>
    <t>1.1046</t>
  </si>
  <si>
    <t>1.1214</t>
  </si>
  <si>
    <t>0.89765</t>
  </si>
  <si>
    <t>1.1552</t>
  </si>
  <si>
    <t>0.96766</t>
  </si>
  <si>
    <t>-0.22608</t>
  </si>
  <si>
    <t>-0.023189</t>
  </si>
  <si>
    <t>6.2</t>
  </si>
  <si>
    <t>5.16</t>
  </si>
  <si>
    <t>0.96991</t>
  </si>
  <si>
    <t>0.99106</t>
  </si>
  <si>
    <t>0.7615</t>
  </si>
  <si>
    <t>1.012</t>
  </si>
  <si>
    <t>1.0384</t>
  </si>
  <si>
    <t>-0.23522</t>
  </si>
  <si>
    <t>0.029119</t>
  </si>
  <si>
    <t>5.34</t>
  </si>
  <si>
    <t>0.66903</t>
  </si>
  <si>
    <t>0.69737</t>
  </si>
  <si>
    <t>0.47523</t>
  </si>
  <si>
    <t>0.69173</t>
  </si>
  <si>
    <t>1.2871</t>
  </si>
  <si>
    <t>-0.21591</t>
  </si>
  <si>
    <t>0.10829</t>
  </si>
  <si>
    <t>5.6</t>
  </si>
  <si>
    <t>0.3932</t>
  </si>
  <si>
    <t>0.4218</t>
  </si>
  <si>
    <t>0.207</t>
  </si>
  <si>
    <t>0.4124</t>
  </si>
  <si>
    <t>1.5004</t>
  </si>
  <si>
    <t>-0.18983</t>
  </si>
  <si>
    <t>0.17895</t>
  </si>
  <si>
    <t>-0.14954</t>
  </si>
  <si>
    <t>-0.11866</t>
  </si>
  <si>
    <t>-0.3138</t>
  </si>
  <si>
    <t>-0.1437</t>
  </si>
  <si>
    <t>1.7622</t>
  </si>
  <si>
    <t>-0.1467</t>
  </si>
  <si>
    <t>0.33896</t>
  </si>
  <si>
    <t>6.18</t>
  </si>
  <si>
    <t>-0.58669</t>
  </si>
  <si>
    <t>-0.55003</t>
  </si>
  <si>
    <t>-0.71466</t>
  </si>
  <si>
    <t>-0.60658</t>
  </si>
  <si>
    <t>1.9152</t>
  </si>
  <si>
    <t>-0.11237</t>
  </si>
  <si>
    <t>0.44788</t>
  </si>
  <si>
    <t>6.54</t>
  </si>
  <si>
    <t>-1.1898</t>
  </si>
  <si>
    <t>-1.142</t>
  </si>
  <si>
    <t>-1.23</t>
  </si>
  <si>
    <t>-1.2664</t>
  </si>
  <si>
    <t>2.1323</t>
  </si>
  <si>
    <t>-0.04332</t>
  </si>
  <si>
    <t>0.62694</t>
  </si>
  <si>
    <t>6.93</t>
  </si>
  <si>
    <t>-1.6388</t>
  </si>
  <si>
    <t>-1.5748</t>
  </si>
  <si>
    <t>-1.6673</t>
  </si>
  <si>
    <t>-1.7516</t>
  </si>
  <si>
    <t>2.204</t>
  </si>
  <si>
    <t>-0.014642</t>
  </si>
  <si>
    <t>0.76303</t>
  </si>
  <si>
    <t>7.32</t>
  </si>
  <si>
    <t>-1.966</t>
  </si>
  <si>
    <t>-1.8882</t>
  </si>
  <si>
    <t>-2.0245</t>
  </si>
  <si>
    <t>-2.0928</t>
  </si>
  <si>
    <t>2.2299</t>
  </si>
  <si>
    <t>-0.014855</t>
  </si>
  <si>
    <t>0.87314</t>
  </si>
  <si>
    <t>7.78</t>
  </si>
  <si>
    <t>-2.5865</t>
  </si>
  <si>
    <t>-2.4874</t>
  </si>
  <si>
    <t>-2.8176</t>
  </si>
  <si>
    <t>-2.6854</t>
  </si>
  <si>
    <t>2.1187</t>
  </si>
  <si>
    <t>-0.081606</t>
  </si>
  <si>
    <t>1.0121</t>
  </si>
  <si>
    <t>9.48</t>
  </si>
  <si>
    <t>-3.0702</t>
  </si>
  <si>
    <t>-2.9537</t>
  </si>
  <si>
    <t>-3.3776</t>
  </si>
  <si>
    <t>-3.1726</t>
  </si>
  <si>
    <t>1.8837</t>
  </si>
  <si>
    <t>-0.15096</t>
  </si>
  <si>
    <t>1.0651</t>
  </si>
  <si>
    <t>9.66</t>
  </si>
  <si>
    <t>0.4473</t>
  </si>
  <si>
    <t>0.4856</t>
  </si>
  <si>
    <t>0.2459</t>
  </si>
  <si>
    <t>0.4539</t>
  </si>
  <si>
    <t>1.431</t>
  </si>
  <si>
    <t>0.05053</t>
  </si>
  <si>
    <t>-0.1662</t>
  </si>
  <si>
    <t>5.037</t>
  </si>
  <si>
    <t>5.078</t>
  </si>
  <si>
    <t>4.849</t>
  </si>
  <si>
    <t>5.033</t>
  </si>
  <si>
    <t>1.073</t>
  </si>
  <si>
    <t>-0.1536</t>
  </si>
  <si>
    <t>0.2252</t>
  </si>
  <si>
    <t>5.3</t>
  </si>
  <si>
    <r>
      <t xml:space="preserve">TWA (Taiwan)     </t>
    </r>
    <r>
      <rPr>
        <sz val="11"/>
        <color rgb="FFFF0000"/>
        <rFont val="Calibri"/>
        <family val="2"/>
        <scheme val="minor"/>
      </rPr>
      <t>Only applies to ASK14 for coding purposes</t>
    </r>
  </si>
  <si>
    <t>Red colored value: The value is used in the code when input is unknown</t>
  </si>
  <si>
    <t>by Emel Seyhan, PhD, PEER &amp; UCLA  --  email: emel.seyhan@gmail.com, peer_center@berkeley.edu</t>
  </si>
  <si>
    <r>
      <t>Ry0</t>
    </r>
    <r>
      <rPr>
        <b/>
        <i/>
        <vertAlign val="subscript"/>
        <sz val="11"/>
        <rFont val="Arial"/>
        <family val="2"/>
      </rPr>
      <t xml:space="preserve">  </t>
    </r>
    <r>
      <rPr>
        <b/>
        <i/>
        <sz val="11"/>
        <rFont val="Arial"/>
        <family val="2"/>
      </rPr>
      <t>(km)</t>
    </r>
  </si>
  <si>
    <t>Default</t>
  </si>
  <si>
    <t>CAMPBELL-BOZORGNIA NGA-WEST2 MODEL COEFFICIENTS [CB14] (EQS 2013) &amp; c0-c6 updates:</t>
  </si>
  <si>
    <t>Aftershock effect is turned off.</t>
  </si>
  <si>
    <r>
      <t>Choose options for V</t>
    </r>
    <r>
      <rPr>
        <i/>
        <vertAlign val="subscript"/>
        <sz val="11"/>
        <color theme="1"/>
        <rFont val="Calibri"/>
        <family val="2"/>
        <scheme val="minor"/>
      </rPr>
      <t>s30</t>
    </r>
    <r>
      <rPr>
        <i/>
        <sz val="11"/>
        <color theme="1"/>
        <rFont val="Calibri"/>
        <family val="2"/>
        <scheme val="minor"/>
      </rPr>
      <t xml:space="preserve"> from the list</t>
    </r>
  </si>
  <si>
    <t>Aftershock effect is not applicable.</t>
  </si>
  <si>
    <t>Last updated:  04 14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</si>
</sst>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00E+00"/>
    <numFmt numFmtId="167" formatCode="0.0"/>
    <numFmt numFmtId="168" formatCode="0.00000"/>
    <numFmt numFmtId="169" formatCode="0.000000"/>
    <numFmt numFmtId="170" formatCode="0.000000000000"/>
  </numFmts>
  <fonts count="9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Times New Roman"/>
      <family val="1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i/>
      <sz val="12"/>
      <name val="Symbol"/>
      <family val="1"/>
      <charset val="2"/>
    </font>
    <font>
      <b/>
      <vertAlign val="subscript"/>
      <sz val="10"/>
      <name val="Arial"/>
      <family val="2"/>
    </font>
    <font>
      <b/>
      <i/>
      <sz val="10"/>
      <name val="Symbol"/>
      <family val="1"/>
      <charset val="2"/>
    </font>
    <font>
      <b/>
      <i/>
      <vertAlign val="subscript"/>
      <sz val="12"/>
      <name val="Arial"/>
      <family val="2"/>
    </font>
    <font>
      <b/>
      <sz val="10"/>
      <name val="Symbol"/>
      <family val="1"/>
      <charset val="2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i/>
      <sz val="12"/>
      <color rgb="FFFF0000"/>
      <name val="Symbol"/>
      <family val="1"/>
      <charset val="2"/>
    </font>
    <font>
      <b/>
      <i/>
      <vertAlign val="subscript"/>
      <sz val="10"/>
      <name val="Symbol"/>
      <family val="1"/>
      <charset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i/>
      <vertAlign val="subscript"/>
      <sz val="10"/>
      <name val="Aparajita"/>
      <family val="2"/>
    </font>
    <font>
      <b/>
      <sz val="11"/>
      <name val="Arial"/>
      <family val="2"/>
    </font>
    <font>
      <b/>
      <i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i/>
      <vertAlign val="subscript"/>
      <sz val="11"/>
      <name val="Arial"/>
      <family val="2"/>
    </font>
    <font>
      <b/>
      <i/>
      <sz val="11"/>
      <name val="Symbol"/>
      <family val="1"/>
      <charset val="2"/>
    </font>
    <font>
      <b/>
      <vertAlign val="subscript"/>
      <sz val="11"/>
      <name val="Arial"/>
      <family val="2"/>
    </font>
    <font>
      <sz val="11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i/>
      <vertAlign val="subscript"/>
      <sz val="11"/>
      <color theme="1"/>
      <name val="Arial"/>
      <family val="2"/>
    </font>
    <font>
      <i/>
      <sz val="10"/>
      <name val="Arial"/>
      <family val="2"/>
    </font>
    <font>
      <b/>
      <i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2"/>
      <color theme="1"/>
      <name val="Symbol"/>
      <family val="1"/>
      <charset val="2"/>
    </font>
    <font>
      <b/>
      <sz val="12"/>
      <color rgb="FFFF0000"/>
      <name val="Symbol"/>
      <family val="1"/>
      <charset val="2"/>
    </font>
    <font>
      <b/>
      <i/>
      <sz val="11"/>
      <color rgb="FFFF0000"/>
      <name val="Symbol"/>
      <family val="1"/>
      <charset val="2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Verdana"/>
      <family val="2"/>
    </font>
    <font>
      <b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20"/>
      <color theme="1"/>
      <name val="Arial"/>
      <family val="2"/>
    </font>
    <font>
      <b/>
      <i/>
      <sz val="11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.35"/>
      <color rgb="FF474747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i/>
      <sz val="11"/>
      <color rgb="FFFF3300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i/>
      <sz val="15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b/>
      <sz val="11"/>
      <color rgb="FFC00000"/>
      <name val="Arial"/>
      <family val="2"/>
    </font>
    <font>
      <b/>
      <sz val="13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sz val="20"/>
      <color rgb="FFFF0000"/>
      <name val="Arial"/>
      <family val="2"/>
    </font>
    <font>
      <sz val="10"/>
      <color rgb="FFFF0000"/>
      <name val="Arial"/>
      <family val="2"/>
    </font>
    <font>
      <sz val="15"/>
      <color rgb="FFFF0000"/>
      <name val="Arial"/>
      <family val="2"/>
    </font>
    <font>
      <b/>
      <sz val="1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name val="Symbol"/>
      <family val="1"/>
      <charset val="2"/>
    </font>
    <font>
      <b/>
      <vertAlign val="subscript"/>
      <sz val="12"/>
      <name val="Times New Roman"/>
      <family val="1"/>
    </font>
    <font>
      <i/>
      <vertAlign val="subscript"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gradientFill degree="90">
        <stop position="0">
          <color theme="0"/>
        </stop>
        <stop position="0.5">
          <color theme="4" tint="0.80001220740379042"/>
        </stop>
        <stop position="1">
          <color theme="0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lightUp">
        <bgColor auto="1"/>
      </patternFill>
    </fill>
    <fill>
      <patternFill patternType="solid">
        <fgColor rgb="FF99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/>
        </stop>
        <stop position="0.5">
          <color theme="2"/>
        </stop>
        <stop position="1">
          <color theme="0"/>
        </stop>
      </gradientFill>
    </fill>
  </fills>
  <borders count="25">
    <border>
      <left/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</borders>
  <cellStyleXfs count="3">
    <xf numFmtId="0" fontId="0" fillId="0" borderId="0"/>
    <xf numFmtId="0" fontId="3" fillId="0" borderId="0"/>
    <xf numFmtId="0" fontId="90" fillId="0" borderId="0" applyNumberFormat="0" applyFill="0" applyBorder="0" applyAlignment="0" applyProtection="0"/>
  </cellStyleXfs>
  <cellXfs count="403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2" fontId="5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left"/>
    </xf>
    <xf numFmtId="49" fontId="2" fillId="0" borderId="0" xfId="0" applyNumberFormat="1" applyFont="1"/>
    <xf numFmtId="0" fontId="4" fillId="0" borderId="0" xfId="0" applyFont="1" applyAlignment="1">
      <alignment horizontal="left"/>
    </xf>
    <xf numFmtId="49" fontId="5" fillId="0" borderId="0" xfId="0" applyNumberFormat="1" applyFont="1"/>
    <xf numFmtId="49" fontId="7" fillId="0" borderId="0" xfId="0" applyNumberFormat="1" applyFont="1"/>
    <xf numFmtId="49" fontId="0" fillId="0" borderId="0" xfId="0" applyNumberFormat="1"/>
    <xf numFmtId="0" fontId="2" fillId="0" borderId="0" xfId="0" applyFon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5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5" fontId="12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4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167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68" fontId="0" fillId="0" borderId="0" xfId="0" applyNumberFormat="1"/>
    <xf numFmtId="165" fontId="0" fillId="0" borderId="0" xfId="0" applyNumberFormat="1"/>
    <xf numFmtId="2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/>
    <xf numFmtId="0" fontId="12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49" fontId="3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/>
    </xf>
    <xf numFmtId="168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8" fontId="3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 vertical="center"/>
    </xf>
    <xf numFmtId="49" fontId="5" fillId="0" borderId="0" xfId="0" applyNumberFormat="1" applyFont="1" applyAlignment="1">
      <alignment vertical="center"/>
    </xf>
    <xf numFmtId="49" fontId="0" fillId="0" borderId="0" xfId="0" applyNumberFormat="1" applyAlignment="1">
      <alignment vertical="center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top" wrapText="1"/>
    </xf>
    <xf numFmtId="0" fontId="30" fillId="0" borderId="0" xfId="0" applyFont="1" applyAlignment="1">
      <alignment horizontal="center" vertical="top" wrapText="1"/>
    </xf>
    <xf numFmtId="0" fontId="32" fillId="0" borderId="0" xfId="0" applyFont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34" fillId="0" borderId="0" xfId="0" applyFont="1"/>
    <xf numFmtId="164" fontId="3" fillId="0" borderId="0" xfId="0" applyNumberFormat="1" applyFont="1"/>
    <xf numFmtId="0" fontId="35" fillId="0" borderId="0" xfId="0" applyFont="1"/>
    <xf numFmtId="0" fontId="27" fillId="0" borderId="0" xfId="0" applyFont="1" applyAlignment="1">
      <alignment horizontal="center" vertical="center"/>
    </xf>
    <xf numFmtId="168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165" fontId="9" fillId="0" borderId="0" xfId="0" applyNumberFormat="1" applyFont="1" applyAlignment="1">
      <alignment horizontal="center" vertical="center"/>
    </xf>
    <xf numFmtId="165" fontId="14" fillId="0" borderId="0" xfId="0" applyNumberFormat="1" applyFont="1" applyAlignment="1">
      <alignment horizontal="center" vertical="center"/>
    </xf>
    <xf numFmtId="168" fontId="12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168" fontId="37" fillId="0" borderId="0" xfId="0" applyNumberFormat="1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47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165" fontId="5" fillId="0" borderId="0" xfId="0" applyNumberFormat="1" applyFont="1"/>
    <xf numFmtId="0" fontId="27" fillId="0" borderId="0" xfId="0" applyFont="1" applyAlignment="1">
      <alignment horizontal="center"/>
    </xf>
    <xf numFmtId="0" fontId="48" fillId="0" borderId="0" xfId="0" applyFont="1"/>
    <xf numFmtId="0" fontId="2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8" fontId="48" fillId="0" borderId="0" xfId="0" applyNumberFormat="1" applyFont="1"/>
    <xf numFmtId="168" fontId="3" fillId="0" borderId="0" xfId="0" applyNumberFormat="1" applyFont="1"/>
    <xf numFmtId="168" fontId="2" fillId="0" borderId="0" xfId="0" applyNumberFormat="1" applyFont="1" applyAlignment="1">
      <alignment vertical="center"/>
    </xf>
    <xf numFmtId="0" fontId="39" fillId="0" borderId="0" xfId="0" applyFont="1" applyAlignment="1">
      <alignment horizontal="center" vertical="center"/>
    </xf>
    <xf numFmtId="168" fontId="13" fillId="0" borderId="0" xfId="0" applyNumberFormat="1" applyFont="1" applyAlignment="1">
      <alignment horizontal="left" vertical="center"/>
    </xf>
    <xf numFmtId="168" fontId="14" fillId="0" borderId="0" xfId="0" applyNumberFormat="1" applyFont="1" applyAlignment="1">
      <alignment horizontal="center" vertical="center"/>
    </xf>
    <xf numFmtId="168" fontId="17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 vertical="center"/>
    </xf>
    <xf numFmtId="168" fontId="46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/>
    </xf>
    <xf numFmtId="166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57" fillId="0" borderId="0" xfId="0" applyFont="1"/>
    <xf numFmtId="0" fontId="57" fillId="0" borderId="0" xfId="0" applyFont="1" applyAlignment="1">
      <alignment horizontal="center" vertical="center"/>
    </xf>
    <xf numFmtId="0" fontId="51" fillId="5" borderId="0" xfId="0" applyFont="1" applyFill="1" applyAlignment="1">
      <alignment horizontal="left" vertical="center"/>
    </xf>
    <xf numFmtId="0" fontId="57" fillId="0" borderId="0" xfId="0" applyFont="1" applyAlignment="1">
      <alignment horizontal="left"/>
    </xf>
    <xf numFmtId="0" fontId="58" fillId="0" borderId="0" xfId="0" applyFont="1"/>
    <xf numFmtId="0" fontId="59" fillId="0" borderId="0" xfId="0" applyFont="1"/>
    <xf numFmtId="0" fontId="58" fillId="0" borderId="0" xfId="0" applyFont="1" applyAlignment="1">
      <alignment vertical="top"/>
    </xf>
    <xf numFmtId="0" fontId="60" fillId="0" borderId="0" xfId="0" applyFont="1"/>
    <xf numFmtId="0" fontId="58" fillId="0" borderId="11" xfId="0" applyFont="1" applyBorder="1"/>
    <xf numFmtId="0" fontId="61" fillId="0" borderId="11" xfId="0" applyFont="1" applyBorder="1"/>
    <xf numFmtId="0" fontId="0" fillId="0" borderId="11" xfId="0" applyBorder="1"/>
    <xf numFmtId="0" fontId="62" fillId="6" borderId="11" xfId="0" applyFont="1" applyFill="1" applyBorder="1"/>
    <xf numFmtId="0" fontId="62" fillId="0" borderId="0" xfId="0" applyFont="1"/>
    <xf numFmtId="0" fontId="63" fillId="0" borderId="0" xfId="0" applyFont="1"/>
    <xf numFmtId="0" fontId="62" fillId="0" borderId="0" xfId="0" applyFont="1" applyAlignment="1">
      <alignment horizontal="center"/>
    </xf>
    <xf numFmtId="0" fontId="64" fillId="0" borderId="2" xfId="0" applyFont="1" applyBorder="1" applyAlignment="1">
      <alignment horizontal="center"/>
    </xf>
    <xf numFmtId="0" fontId="65" fillId="7" borderId="12" xfId="0" applyFont="1" applyFill="1" applyBorder="1" applyAlignment="1">
      <alignment horizontal="center"/>
    </xf>
    <xf numFmtId="0" fontId="65" fillId="7" borderId="2" xfId="0" applyFont="1" applyFill="1" applyBorder="1" applyAlignment="1">
      <alignment horizontal="center"/>
    </xf>
    <xf numFmtId="0" fontId="65" fillId="8" borderId="12" xfId="0" applyFont="1" applyFill="1" applyBorder="1" applyAlignment="1">
      <alignment horizontal="center"/>
    </xf>
    <xf numFmtId="0" fontId="65" fillId="8" borderId="2" xfId="0" applyFont="1" applyFill="1" applyBorder="1" applyAlignment="1">
      <alignment horizontal="center"/>
    </xf>
    <xf numFmtId="0" fontId="66" fillId="8" borderId="2" xfId="0" applyFont="1" applyFill="1" applyBorder="1"/>
    <xf numFmtId="0" fontId="0" fillId="0" borderId="2" xfId="0" applyBorder="1" applyAlignment="1">
      <alignment horizontal="center"/>
    </xf>
    <xf numFmtId="0" fontId="63" fillId="6" borderId="12" xfId="0" applyFon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13" fillId="6" borderId="12" xfId="0" applyNumberFormat="1" applyFont="1" applyFill="1" applyBorder="1" applyAlignment="1">
      <alignment horizontal="center"/>
    </xf>
    <xf numFmtId="0" fontId="64" fillId="0" borderId="0" xfId="0" applyFont="1" applyAlignment="1">
      <alignment horizontal="center"/>
    </xf>
    <xf numFmtId="11" fontId="34" fillId="0" borderId="13" xfId="0" applyNumberFormat="1" applyFont="1" applyBorder="1" applyAlignment="1">
      <alignment horizontal="right"/>
    </xf>
    <xf numFmtId="11" fontId="34" fillId="0" borderId="0" xfId="0" applyNumberFormat="1" applyFont="1" applyAlignment="1">
      <alignment horizontal="right"/>
    </xf>
    <xf numFmtId="11" fontId="34" fillId="0" borderId="0" xfId="0" applyNumberFormat="1" applyFont="1" applyAlignment="1">
      <alignment horizontal="center"/>
    </xf>
    <xf numFmtId="11" fontId="0" fillId="0" borderId="0" xfId="0" applyNumberFormat="1"/>
    <xf numFmtId="11" fontId="0" fillId="6" borderId="13" xfId="0" applyNumberFormat="1" applyFill="1" applyBorder="1" applyAlignment="1">
      <alignment horizontal="center"/>
    </xf>
    <xf numFmtId="165" fontId="0" fillId="6" borderId="13" xfId="0" applyNumberFormat="1" applyFill="1" applyBorder="1" applyAlignment="1">
      <alignment horizontal="center"/>
    </xf>
    <xf numFmtId="2" fontId="6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51" fillId="12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0" fillId="2" borderId="0" xfId="0" applyFill="1"/>
    <xf numFmtId="0" fontId="51" fillId="12" borderId="0" xfId="0" applyFont="1" applyFill="1" applyAlignment="1">
      <alignment horizontal="center" wrapText="1"/>
    </xf>
    <xf numFmtId="170" fontId="17" fillId="0" borderId="0" xfId="0" applyNumberFormat="1" applyFont="1" applyAlignment="1">
      <alignment horizontal="center"/>
    </xf>
    <xf numFmtId="0" fontId="0" fillId="0" borderId="0" xfId="0" applyProtection="1">
      <protection locked="0"/>
    </xf>
    <xf numFmtId="0" fontId="42" fillId="0" borderId="8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2" fillId="0" borderId="4" xfId="0" applyFont="1" applyBorder="1" applyAlignment="1" applyProtection="1">
      <alignment horizontal="center" vertical="center"/>
      <protection locked="0"/>
    </xf>
    <xf numFmtId="0" fontId="41" fillId="0" borderId="5" xfId="0" applyFont="1" applyBorder="1" applyAlignment="1" applyProtection="1">
      <alignment horizontal="center"/>
      <protection locked="0"/>
    </xf>
    <xf numFmtId="2" fontId="41" fillId="0" borderId="5" xfId="0" applyNumberFormat="1" applyFont="1" applyBorder="1" applyAlignment="1" applyProtection="1">
      <alignment horizontal="center"/>
      <protection locked="0"/>
    </xf>
    <xf numFmtId="2" fontId="41" fillId="0" borderId="6" xfId="0" applyNumberFormat="1" applyFont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9" fontId="5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9" fontId="42" fillId="0" borderId="0" xfId="0" applyNumberFormat="1" applyFont="1" applyAlignment="1" applyProtection="1">
      <alignment horizontal="center" vertical="top"/>
      <protection locked="0"/>
    </xf>
    <xf numFmtId="2" fontId="46" fillId="0" borderId="0" xfId="0" applyNumberFormat="1" applyFont="1" applyAlignment="1" applyProtection="1">
      <alignment horizontal="center"/>
      <protection locked="0"/>
    </xf>
    <xf numFmtId="165" fontId="46" fillId="0" borderId="0" xfId="0" applyNumberFormat="1" applyFont="1" applyAlignment="1" applyProtection="1">
      <alignment horizontal="center"/>
      <protection locked="0"/>
    </xf>
    <xf numFmtId="167" fontId="46" fillId="0" borderId="0" xfId="0" applyNumberFormat="1" applyFont="1" applyAlignment="1" applyProtection="1">
      <alignment horizontal="center"/>
      <protection locked="0"/>
    </xf>
    <xf numFmtId="0" fontId="3" fillId="9" borderId="0" xfId="0" applyFont="1" applyFill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right"/>
      <protection locked="0"/>
    </xf>
    <xf numFmtId="1" fontId="46" fillId="0" borderId="0" xfId="0" applyNumberFormat="1" applyFont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right"/>
    </xf>
    <xf numFmtId="0" fontId="22" fillId="13" borderId="2" xfId="0" applyFont="1" applyFill="1" applyBorder="1" applyAlignment="1" applyProtection="1">
      <alignment horizontal="center"/>
      <protection locked="0"/>
    </xf>
    <xf numFmtId="0" fontId="22" fillId="13" borderId="9" xfId="0" applyFont="1" applyFill="1" applyBorder="1" applyAlignment="1" applyProtection="1">
      <alignment horizontal="center"/>
      <protection locked="0"/>
    </xf>
    <xf numFmtId="0" fontId="73" fillId="13" borderId="9" xfId="0" applyFont="1" applyFill="1" applyBorder="1" applyAlignment="1" applyProtection="1">
      <alignment horizontal="center"/>
      <protection locked="0"/>
    </xf>
    <xf numFmtId="0" fontId="74" fillId="0" borderId="0" xfId="0" applyFont="1" applyAlignment="1">
      <alignment horizontal="left"/>
    </xf>
    <xf numFmtId="0" fontId="13" fillId="0" borderId="0" xfId="0" applyFont="1" applyProtection="1">
      <protection locked="0"/>
    </xf>
    <xf numFmtId="0" fontId="13" fillId="0" borderId="0" xfId="0" applyFont="1" applyAlignment="1">
      <alignment horizontal="right"/>
    </xf>
    <xf numFmtId="0" fontId="41" fillId="0" borderId="0" xfId="0" applyFont="1" applyAlignment="1" applyProtection="1">
      <alignment horizontal="center"/>
      <protection locked="0"/>
    </xf>
    <xf numFmtId="2" fontId="41" fillId="0" borderId="0" xfId="0" applyNumberFormat="1" applyFont="1" applyAlignment="1" applyProtection="1">
      <alignment horizontal="center"/>
      <protection locked="0"/>
    </xf>
    <xf numFmtId="11" fontId="0" fillId="0" borderId="0" xfId="0" applyNumberForma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left" vertical="center" wrapText="1"/>
    </xf>
    <xf numFmtId="0" fontId="0" fillId="0" borderId="14" xfId="0" applyBorder="1" applyAlignment="1">
      <alignment horizontal="center" vertical="center" wrapText="1"/>
    </xf>
    <xf numFmtId="0" fontId="65" fillId="0" borderId="14" xfId="0" applyFont="1" applyBorder="1" applyAlignment="1">
      <alignment horizontal="center"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65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7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40" fillId="0" borderId="17" xfId="0" applyFont="1" applyBorder="1" applyAlignment="1">
      <alignment horizontal="center" vertical="center"/>
    </xf>
    <xf numFmtId="0" fontId="40" fillId="0" borderId="14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center" vertical="center"/>
    </xf>
    <xf numFmtId="0" fontId="65" fillId="0" borderId="15" xfId="0" applyFont="1" applyBorder="1" applyAlignment="1">
      <alignment horizontal="center" vertical="center"/>
    </xf>
    <xf numFmtId="0" fontId="74" fillId="0" borderId="16" xfId="0" applyFont="1" applyBorder="1" applyAlignment="1">
      <alignment horizontal="center" vertical="center"/>
    </xf>
    <xf numFmtId="0" fontId="65" fillId="0" borderId="15" xfId="0" applyFont="1" applyBorder="1" applyAlignment="1">
      <alignment vertical="center"/>
    </xf>
    <xf numFmtId="0" fontId="40" fillId="0" borderId="15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horizontal="right" vertical="center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left"/>
    </xf>
    <xf numFmtId="0" fontId="28" fillId="0" borderId="0" xfId="0" applyFont="1"/>
    <xf numFmtId="0" fontId="28" fillId="0" borderId="0" xfId="0" applyFont="1" applyAlignment="1">
      <alignment horizontal="right" vertical="center"/>
    </xf>
    <xf numFmtId="0" fontId="28" fillId="0" borderId="14" xfId="0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164" fontId="17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4" fontId="17" fillId="0" borderId="0" xfId="0" applyNumberFormat="1" applyFont="1"/>
    <xf numFmtId="0" fontId="56" fillId="0" borderId="0" xfId="0" applyFont="1" applyAlignment="1">
      <alignment horizontal="left" vertical="center"/>
    </xf>
    <xf numFmtId="169" fontId="2" fillId="0" borderId="0" xfId="0" applyNumberFormat="1" applyFont="1"/>
    <xf numFmtId="169" fontId="3" fillId="0" borderId="0" xfId="0" applyNumberFormat="1" applyFont="1"/>
    <xf numFmtId="169" fontId="46" fillId="0" borderId="0" xfId="0" applyNumberFormat="1" applyFont="1" applyAlignment="1">
      <alignment horizontal="left" vertical="center"/>
    </xf>
    <xf numFmtId="169" fontId="12" fillId="0" borderId="0" xfId="0" applyNumberFormat="1" applyFont="1" applyAlignment="1">
      <alignment horizontal="center" vertical="center"/>
    </xf>
    <xf numFmtId="169" fontId="0" fillId="0" borderId="0" xfId="0" applyNumberFormat="1"/>
    <xf numFmtId="1" fontId="0" fillId="0" borderId="0" xfId="0" applyNumberFormat="1" applyAlignment="1">
      <alignment horizontal="center"/>
    </xf>
    <xf numFmtId="0" fontId="0" fillId="0" borderId="14" xfId="0" applyBorder="1" applyAlignment="1">
      <alignment horizontal="right" vertical="center" wrapText="1"/>
    </xf>
    <xf numFmtId="0" fontId="33" fillId="0" borderId="0" xfId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41" fillId="0" borderId="6" xfId="0" applyFont="1" applyBorder="1" applyAlignment="1" applyProtection="1">
      <alignment horizontal="center"/>
      <protection locked="0"/>
    </xf>
    <xf numFmtId="0" fontId="22" fillId="13" borderId="3" xfId="0" applyFont="1" applyFill="1" applyBorder="1" applyAlignment="1" applyProtection="1">
      <alignment horizontal="center"/>
      <protection locked="0"/>
    </xf>
    <xf numFmtId="0" fontId="22" fillId="13" borderId="9" xfId="0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0" fillId="11" borderId="0" xfId="0" applyFill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17" fillId="11" borderId="0" xfId="0" applyFont="1" applyFill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7" borderId="0" xfId="0" applyFont="1" applyFill="1" applyAlignment="1" applyProtection="1">
      <alignment horizontal="center" vertical="center"/>
      <protection locked="0"/>
    </xf>
    <xf numFmtId="0" fontId="79" fillId="0" borderId="0" xfId="0" applyFont="1" applyAlignment="1">
      <alignment horizontal="center"/>
    </xf>
    <xf numFmtId="0" fontId="70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68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0" fontId="39" fillId="0" borderId="0" xfId="0" applyFont="1" applyAlignment="1">
      <alignment horizontal="left"/>
    </xf>
    <xf numFmtId="0" fontId="44" fillId="0" borderId="0" xfId="0" applyFont="1" applyAlignment="1">
      <alignment horizontal="left" vertical="center"/>
    </xf>
    <xf numFmtId="0" fontId="27" fillId="0" borderId="14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4" xfId="0" applyFont="1" applyBorder="1" applyAlignment="1">
      <alignment horizontal="right" vertical="center"/>
    </xf>
    <xf numFmtId="2" fontId="0" fillId="0" borderId="14" xfId="0" applyNumberFormat="1" applyBorder="1" applyAlignment="1">
      <alignment horizontal="center" vertical="center"/>
    </xf>
    <xf numFmtId="165" fontId="0" fillId="10" borderId="14" xfId="0" applyNumberFormat="1" applyFill="1" applyBorder="1" applyAlignment="1">
      <alignment vertical="center"/>
    </xf>
    <xf numFmtId="165" fontId="3" fillId="0" borderId="14" xfId="0" applyNumberFormat="1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2" fillId="0" borderId="14" xfId="0" applyFont="1" applyBorder="1" applyAlignment="1">
      <alignment horizontal="center" vertical="top"/>
    </xf>
    <xf numFmtId="0" fontId="46" fillId="0" borderId="14" xfId="0" applyFont="1" applyBorder="1" applyAlignment="1">
      <alignment horizontal="center" vertical="top" wrapText="1"/>
    </xf>
    <xf numFmtId="0" fontId="46" fillId="0" borderId="17" xfId="0" applyFont="1" applyBorder="1" applyAlignment="1">
      <alignment horizontal="center" vertical="top" wrapText="1"/>
    </xf>
    <xf numFmtId="0" fontId="46" fillId="0" borderId="0" xfId="0" applyFont="1" applyAlignment="1">
      <alignment horizontal="left"/>
    </xf>
    <xf numFmtId="0" fontId="42" fillId="0" borderId="0" xfId="0" applyFont="1" applyAlignment="1">
      <alignment horizontal="right"/>
    </xf>
    <xf numFmtId="0" fontId="91" fillId="0" borderId="0" xfId="0" applyFont="1" applyAlignment="1">
      <alignment vertical="top" wrapText="1"/>
    </xf>
    <xf numFmtId="0" fontId="28" fillId="6" borderId="0" xfId="0" applyFont="1" applyFill="1" applyAlignment="1">
      <alignment horizontal="left" vertical="center"/>
    </xf>
    <xf numFmtId="0" fontId="45" fillId="0" borderId="0" xfId="0" applyFont="1" applyAlignment="1">
      <alignment horizontal="right" vertical="center"/>
    </xf>
    <xf numFmtId="0" fontId="46" fillId="0" borderId="0" xfId="0" applyFont="1" applyAlignment="1">
      <alignment horizontal="center" vertical="top" wrapText="1"/>
    </xf>
    <xf numFmtId="0" fontId="21" fillId="0" borderId="0" xfId="0" applyFont="1" applyAlignment="1">
      <alignment horizontal="left" wrapText="1"/>
    </xf>
    <xf numFmtId="0" fontId="43" fillId="0" borderId="0" xfId="0" applyFont="1" applyAlignment="1">
      <alignment horizontal="right" vertical="center"/>
    </xf>
    <xf numFmtId="0" fontId="11" fillId="0" borderId="0" xfId="0" applyFont="1"/>
    <xf numFmtId="0" fontId="27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0" xfId="0" quotePrefix="1" applyFont="1" applyAlignment="1">
      <alignment horizontal="center" vertical="center"/>
    </xf>
    <xf numFmtId="0" fontId="13" fillId="0" borderId="0" xfId="0" applyFont="1" applyAlignment="1">
      <alignment wrapText="1"/>
    </xf>
    <xf numFmtId="0" fontId="13" fillId="0" borderId="0" xfId="0" applyFont="1" applyAlignment="1">
      <alignment horizontal="right" wrapText="1"/>
    </xf>
    <xf numFmtId="0" fontId="13" fillId="0" borderId="0" xfId="0" applyFont="1"/>
    <xf numFmtId="0" fontId="0" fillId="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0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26" fillId="0" borderId="0" xfId="0" applyFont="1"/>
    <xf numFmtId="0" fontId="51" fillId="2" borderId="0" xfId="0" applyFont="1" applyFill="1" applyAlignment="1">
      <alignment horizontal="center" vertical="center" wrapText="1"/>
    </xf>
    <xf numFmtId="0" fontId="20" fillId="0" borderId="0" xfId="0" applyFont="1"/>
    <xf numFmtId="0" fontId="80" fillId="0" borderId="0" xfId="0" applyFont="1" applyAlignment="1">
      <alignment horizontal="center" vertical="center" wrapText="1"/>
    </xf>
    <xf numFmtId="0" fontId="51" fillId="0" borderId="0" xfId="0" applyFont="1" applyAlignment="1">
      <alignment horizontal="left" vertical="center"/>
    </xf>
    <xf numFmtId="0" fontId="51" fillId="5" borderId="0" xfId="0" applyFont="1" applyFill="1" applyAlignment="1">
      <alignment vertical="center"/>
    </xf>
    <xf numFmtId="0" fontId="5" fillId="0" borderId="0" xfId="0" applyFont="1" applyAlignment="1">
      <alignment horizontal="right" vertical="center"/>
    </xf>
    <xf numFmtId="0" fontId="40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 wrapText="1"/>
    </xf>
    <xf numFmtId="0" fontId="0" fillId="0" borderId="0" xfId="0" applyAlignment="1">
      <alignment horizontal="left" vertical="top"/>
    </xf>
    <xf numFmtId="0" fontId="49" fillId="3" borderId="7" xfId="0" applyFont="1" applyFill="1" applyBorder="1" applyAlignment="1">
      <alignment horizontal="center" wrapText="1"/>
    </xf>
    <xf numFmtId="0" fontId="50" fillId="3" borderId="0" xfId="0" applyFont="1" applyFill="1" applyAlignment="1">
      <alignment horizontal="center" wrapText="1"/>
    </xf>
    <xf numFmtId="0" fontId="64" fillId="0" borderId="14" xfId="0" applyFont="1" applyBorder="1" applyAlignment="1">
      <alignment horizontal="center" vertical="center"/>
    </xf>
    <xf numFmtId="0" fontId="40" fillId="13" borderId="14" xfId="0" applyFont="1" applyFill="1" applyBorder="1" applyAlignment="1">
      <alignment horizontal="center" vertical="center" wrapText="1"/>
    </xf>
    <xf numFmtId="0" fontId="40" fillId="9" borderId="14" xfId="0" applyFont="1" applyFill="1" applyBorder="1" applyAlignment="1">
      <alignment horizontal="center" vertical="center" wrapText="1"/>
    </xf>
    <xf numFmtId="0" fontId="40" fillId="11" borderId="14" xfId="0" applyFont="1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12" borderId="14" xfId="0" applyFill="1" applyBorder="1" applyAlignment="1">
      <alignment horizontal="center" vertic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0" fontId="27" fillId="0" borderId="0" xfId="0" applyFont="1"/>
    <xf numFmtId="0" fontId="1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5" fillId="4" borderId="5" xfId="0" applyFont="1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91" fillId="3" borderId="0" xfId="0" applyFont="1" applyFill="1" applyAlignment="1">
      <alignment vertical="top" wrapText="1"/>
    </xf>
    <xf numFmtId="0" fontId="93" fillId="0" borderId="0" xfId="2" applyNumberFormat="1" applyFont="1" applyAlignment="1" applyProtection="1">
      <alignment vertical="top"/>
    </xf>
    <xf numFmtId="0" fontId="94" fillId="0" borderId="0" xfId="0" applyFont="1" applyAlignment="1">
      <alignment vertical="top"/>
    </xf>
    <xf numFmtId="0" fontId="45" fillId="0" borderId="0" xfId="0" applyFont="1" applyAlignment="1">
      <alignment horizontal="center" vertical="top" wrapText="1"/>
    </xf>
    <xf numFmtId="0" fontId="92" fillId="0" borderId="0" xfId="0" applyFont="1" applyAlignment="1">
      <alignment horizontal="center" vertical="top" wrapText="1"/>
    </xf>
    <xf numFmtId="0" fontId="80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12" borderId="0" xfId="0" applyFont="1" applyFill="1" applyAlignment="1">
      <alignment horizontal="center"/>
    </xf>
    <xf numFmtId="165" fontId="3" fillId="12" borderId="0" xfId="0" applyNumberFormat="1" applyFont="1" applyFill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0" fillId="14" borderId="4" xfId="0" applyFont="1" applyFill="1" applyBorder="1" applyAlignment="1">
      <alignment horizontal="center" vertical="top" wrapText="1"/>
    </xf>
    <xf numFmtId="0" fontId="50" fillId="14" borderId="5" xfId="0" applyFont="1" applyFill="1" applyBorder="1" applyAlignment="1">
      <alignment horizontal="center" vertical="top" wrapText="1"/>
    </xf>
    <xf numFmtId="0" fontId="50" fillId="14" borderId="6" xfId="0" applyFont="1" applyFill="1" applyBorder="1" applyAlignment="1">
      <alignment horizontal="center" vertical="top" wrapText="1"/>
    </xf>
    <xf numFmtId="0" fontId="50" fillId="14" borderId="7" xfId="0" applyFont="1" applyFill="1" applyBorder="1" applyAlignment="1">
      <alignment horizontal="center" vertical="top" wrapText="1"/>
    </xf>
    <xf numFmtId="0" fontId="50" fillId="14" borderId="0" xfId="0" applyFont="1" applyFill="1" applyAlignment="1">
      <alignment horizontal="center" vertical="top" wrapText="1"/>
    </xf>
    <xf numFmtId="0" fontId="50" fillId="14" borderId="21" xfId="0" applyFont="1" applyFill="1" applyBorder="1" applyAlignment="1">
      <alignment horizontal="center" vertical="top" wrapText="1"/>
    </xf>
    <xf numFmtId="0" fontId="50" fillId="14" borderId="1" xfId="0" applyFont="1" applyFill="1" applyBorder="1" applyAlignment="1">
      <alignment horizontal="center" vertical="top" wrapText="1"/>
    </xf>
    <xf numFmtId="0" fontId="50" fillId="14" borderId="2" xfId="0" applyFont="1" applyFill="1" applyBorder="1" applyAlignment="1">
      <alignment horizontal="center" vertical="top" wrapText="1"/>
    </xf>
    <xf numFmtId="0" fontId="50" fillId="14" borderId="3" xfId="0" applyFont="1" applyFill="1" applyBorder="1" applyAlignment="1">
      <alignment horizontal="center" vertical="top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46" fillId="0" borderId="0" xfId="0" applyFont="1" applyAlignment="1">
      <alignment horizontal="center" vertical="center" textRotation="90"/>
    </xf>
    <xf numFmtId="0" fontId="71" fillId="0" borderId="8" xfId="0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0" fontId="50" fillId="4" borderId="7" xfId="0" applyFont="1" applyFill="1" applyBorder="1" applyAlignment="1">
      <alignment horizontal="center" vertical="center" wrapText="1"/>
    </xf>
    <xf numFmtId="0" fontId="50" fillId="4" borderId="0" xfId="0" applyFont="1" applyFill="1" applyAlignment="1">
      <alignment horizontal="center" vertical="center" wrapText="1"/>
    </xf>
    <xf numFmtId="0" fontId="53" fillId="4" borderId="7" xfId="0" applyFont="1" applyFill="1" applyBorder="1" applyAlignment="1">
      <alignment horizontal="center" vertical="center" wrapText="1"/>
    </xf>
    <xf numFmtId="0" fontId="54" fillId="4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52" fillId="0" borderId="7" xfId="0" applyFont="1" applyBorder="1" applyAlignment="1">
      <alignment horizontal="center" wrapText="1"/>
    </xf>
    <xf numFmtId="0" fontId="52" fillId="0" borderId="0" xfId="0" applyFont="1" applyAlignment="1">
      <alignment horizontal="center" wrapText="1"/>
    </xf>
    <xf numFmtId="0" fontId="51" fillId="0" borderId="7" xfId="0" applyFont="1" applyBorder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 wrapText="1"/>
    </xf>
    <xf numFmtId="0" fontId="51" fillId="2" borderId="0" xfId="0" applyFont="1" applyFill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0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63" fillId="0" borderId="19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46" fillId="0" borderId="0" xfId="0" applyFont="1" applyAlignment="1" applyProtection="1">
      <alignment horizontal="center" vertical="center" textRotation="90"/>
      <protection locked="0"/>
    </xf>
    <xf numFmtId="0" fontId="27" fillId="3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78" fillId="0" borderId="0" xfId="0" applyFont="1" applyAlignment="1">
      <alignment horizontal="center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/>
    </xf>
    <xf numFmtId="0" fontId="2" fillId="0" borderId="0" xfId="0" applyFont="1" applyAlignment="1">
      <alignment horizontal="center" vertical="top"/>
    </xf>
    <xf numFmtId="0" fontId="4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24">
    <dxf>
      <font>
        <b/>
        <i val="0"/>
      </font>
      <fill>
        <gradientFill degree="90">
          <stop position="0">
            <color theme="0"/>
          </stop>
          <stop position="1">
            <color rgb="FFFF33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</font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99CCFF"/>
      <color rgb="FF00FF00"/>
      <color rgb="FFFF3300"/>
      <color rgb="FFF60AC9"/>
      <color rgb="FFFF7C80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Main!$J$22</c:f>
              <c:strCache>
                <c:ptCount val="1"/>
                <c:pt idx="0">
                  <c:v>PSa Median for 5% damping</c:v>
                </c:pt>
              </c:strCache>
            </c:strRef>
          </c:tx>
          <c:spPr>
            <a:ln w="50800">
              <a:solidFill>
                <a:srgbClr val="FF3300"/>
              </a:solidFill>
              <a:prstDash val="solid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Main!$J$23:$J$43</c:f>
              <c:numCache>
                <c:formatCode>0.00000</c:formatCode>
                <c:ptCount val="21"/>
                <c:pt idx="0">
                  <c:v>0.34199358881954489</c:v>
                </c:pt>
                <c:pt idx="1">
                  <c:v>0.34273230189624165</c:v>
                </c:pt>
                <c:pt idx="2">
                  <c:v>0.35329433187037063</c:v>
                </c:pt>
                <c:pt idx="3">
                  <c:v>0.39810353480882438</c:v>
                </c:pt>
                <c:pt idx="4">
                  <c:v>0.47574140338748688</c:v>
                </c:pt>
                <c:pt idx="5">
                  <c:v>0.54894037502213866</c:v>
                </c:pt>
                <c:pt idx="6">
                  <c:v>0.66867655342338961</c:v>
                </c:pt>
                <c:pt idx="7">
                  <c:v>0.74336224091483216</c:v>
                </c:pt>
                <c:pt idx="8">
                  <c:v>0.78065101150021943</c:v>
                </c:pt>
                <c:pt idx="9">
                  <c:v>0.79270732861757742</c:v>
                </c:pt>
                <c:pt idx="10">
                  <c:v>0.76575365314818389</c:v>
                </c:pt>
                <c:pt idx="11">
                  <c:v>0.70991807798370277</c:v>
                </c:pt>
                <c:pt idx="12">
                  <c:v>0.55123812329282629</c:v>
                </c:pt>
                <c:pt idx="13">
                  <c:v>0.44888486114019466</c:v>
                </c:pt>
                <c:pt idx="14">
                  <c:v>0.32624702077046586</c:v>
                </c:pt>
                <c:pt idx="15">
                  <c:v>0.25022435401687992</c:v>
                </c:pt>
                <c:pt idx="16">
                  <c:v>0.17816791873143747</c:v>
                </c:pt>
                <c:pt idx="17">
                  <c:v>0.13673255902940476</c:v>
                </c:pt>
                <c:pt idx="18">
                  <c:v>0.10628081682264659</c:v>
                </c:pt>
                <c:pt idx="19">
                  <c:v>6.0196984853010331E-2</c:v>
                </c:pt>
                <c:pt idx="20">
                  <c:v>3.6123536105861172E-2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EB-4C05-9116-0C7A99B7D225}"/>
            </c:ext>
          </c:extLst>
        </c:ser>
        <c:ser>
          <c:idx val="1"/>
          <c:order val="1"/>
          <c:tx>
            <c:strRef>
              <c:f>Main!$K$22</c:f>
              <c:strCache>
                <c:ptCount val="1"/>
                <c:pt idx="0">
                  <c:v>PSa Median + 1.σ for 5 % damping</c:v>
                </c:pt>
              </c:strCache>
            </c:strRef>
          </c:tx>
          <c:spPr>
            <a:ln w="381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Main!$K$23:$K$43</c:f>
              <c:numCache>
                <c:formatCode>0.00000</c:formatCode>
                <c:ptCount val="21"/>
                <c:pt idx="0">
                  <c:v>0.5962315759675435</c:v>
                </c:pt>
                <c:pt idx="1">
                  <c:v>0.598089635237952</c:v>
                </c:pt>
                <c:pt idx="2">
                  <c:v>0.61993179664115983</c:v>
                </c:pt>
                <c:pt idx="3">
                  <c:v>0.70748055672906029</c:v>
                </c:pt>
                <c:pt idx="4">
                  <c:v>0.85542982181943072</c:v>
                </c:pt>
                <c:pt idx="5">
                  <c:v>0.98752775767741041</c:v>
                </c:pt>
                <c:pt idx="6">
                  <c:v>1.1889770231186805</c:v>
                </c:pt>
                <c:pt idx="7">
                  <c:v>1.3202865234370842</c:v>
                </c:pt>
                <c:pt idx="8">
                  <c:v>1.3996639642304716</c:v>
                </c:pt>
                <c:pt idx="9">
                  <c:v>1.4495307293993474</c:v>
                </c:pt>
                <c:pt idx="10">
                  <c:v>1.4405647754591926</c:v>
                </c:pt>
                <c:pt idx="11">
                  <c:v>1.3616341989956169</c:v>
                </c:pt>
                <c:pt idx="12">
                  <c:v>1.0947382954846796</c:v>
                </c:pt>
                <c:pt idx="13">
                  <c:v>0.90409672788896145</c:v>
                </c:pt>
                <c:pt idx="14">
                  <c:v>0.66227971062835755</c:v>
                </c:pt>
                <c:pt idx="15">
                  <c:v>0.5089984436230609</c:v>
                </c:pt>
                <c:pt idx="16">
                  <c:v>0.3626459818692036</c:v>
                </c:pt>
                <c:pt idx="17">
                  <c:v>0.27559254956425405</c:v>
                </c:pt>
                <c:pt idx="18">
                  <c:v>0.21452325905415043</c:v>
                </c:pt>
                <c:pt idx="19">
                  <c:v>0.12099530106476429</c:v>
                </c:pt>
                <c:pt idx="20">
                  <c:v>7.1775283760677155E-2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EB-4C05-9116-0C7A99B7D225}"/>
            </c:ext>
          </c:extLst>
        </c:ser>
        <c:ser>
          <c:idx val="2"/>
          <c:order val="2"/>
          <c:tx>
            <c:strRef>
              <c:f>Main!$L$22</c:f>
              <c:strCache>
                <c:ptCount val="1"/>
                <c:pt idx="0">
                  <c:v>PSa Median - 1.σ for 5 % damping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Main!$E$23:$E$43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Main!$L$23:$L$43</c:f>
              <c:numCache>
                <c:formatCode>0.00000</c:formatCode>
                <c:ptCount val="21"/>
                <c:pt idx="0">
                  <c:v>0.19616474455227229</c:v>
                </c:pt>
                <c:pt idx="1">
                  <c:v>0.19640104733860259</c:v>
                </c:pt>
                <c:pt idx="2">
                  <c:v>0.20133970479978514</c:v>
                </c:pt>
                <c:pt idx="3">
                  <c:v>0.2240152367720481</c:v>
                </c:pt>
                <c:pt idx="4">
                  <c:v>0.26458030468906252</c:v>
                </c:pt>
                <c:pt idx="5">
                  <c:v>0.30514133196434318</c:v>
                </c:pt>
                <c:pt idx="6">
                  <c:v>0.3760613741091211</c:v>
                </c:pt>
                <c:pt idx="7">
                  <c:v>0.41853598549152615</c:v>
                </c:pt>
                <c:pt idx="8">
                  <c:v>0.43540165163241124</c:v>
                </c:pt>
                <c:pt idx="9">
                  <c:v>0.4335092013567759</c:v>
                </c:pt>
                <c:pt idx="10">
                  <c:v>0.40704775467168813</c:v>
                </c:pt>
                <c:pt idx="11">
                  <c:v>0.37013147717634326</c:v>
                </c:pt>
                <c:pt idx="12">
                  <c:v>0.27756722298352232</c:v>
                </c:pt>
                <c:pt idx="13">
                  <c:v>0.22287174850344016</c:v>
                </c:pt>
                <c:pt idx="14">
                  <c:v>0.16071324072516036</c:v>
                </c:pt>
                <c:pt idx="15">
                  <c:v>0.12301064596089881</c:v>
                </c:pt>
                <c:pt idx="16">
                  <c:v>8.7533872846111457E-2</c:v>
                </c:pt>
                <c:pt idx="17">
                  <c:v>6.7838527305219318E-2</c:v>
                </c:pt>
                <c:pt idx="18">
                  <c:v>5.2654486391322683E-2</c:v>
                </c:pt>
                <c:pt idx="19">
                  <c:v>2.9948906722038177E-2</c:v>
                </c:pt>
                <c:pt idx="20">
                  <c:v>1.8180490447693144E-2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EB-4C05-9116-0C7A99B7D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65344"/>
        <c:axId val="121867264"/>
      </c:scatterChart>
      <c:valAx>
        <c:axId val="121865344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Period (sec)</a:t>
                </a:r>
              </a:p>
            </c:rich>
          </c:tx>
          <c:layout>
            <c:manualLayout>
              <c:xMode val="edge"/>
              <c:yMode val="edge"/>
              <c:x val="0.48283763391056561"/>
              <c:y val="0.861771965329396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67264"/>
        <c:crossesAt val="1.0000000000000026E-3"/>
        <c:crossBetween val="midCat"/>
      </c:valAx>
      <c:valAx>
        <c:axId val="121867264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strRef>
              <c:f>Main!$R$24</c:f>
              <c:strCache>
                <c:ptCount val="1"/>
                <c:pt idx="0">
                  <c:v>Pseudo Spectral Acceleration (5% damping) (g)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sz="1200" b="1"/>
              </a:pPr>
              <a:endParaRPr lang="en-US"/>
            </a:p>
          </c:txPr>
        </c:title>
        <c:numFmt formatCode="General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65344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2226027056352512E-2"/>
          <c:y val="0.92582199294054135"/>
          <c:w val="0.91643110982808496"/>
          <c:h val="4.75161987041037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 cmpd="thickThin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22" r="0.750000000000006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'ASK14'!$D$6:$D$26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'ASK14'!$E$6:$E$26</c:f>
              <c:numCache>
                <c:formatCode>0.0000</c:formatCode>
                <c:ptCount val="21"/>
                <c:pt idx="0">
                  <c:v>0.33160255623034579</c:v>
                </c:pt>
                <c:pt idx="1">
                  <c:v>0.33453096860542397</c:v>
                </c:pt>
                <c:pt idx="2">
                  <c:v>0.33457777793472226</c:v>
                </c:pt>
                <c:pt idx="3">
                  <c:v>0.36231023906326904</c:v>
                </c:pt>
                <c:pt idx="4">
                  <c:v>0.43570338890679983</c:v>
                </c:pt>
                <c:pt idx="5">
                  <c:v>0.52435403939223424</c:v>
                </c:pt>
                <c:pt idx="6">
                  <c:v>0.72569105814758517</c:v>
                </c:pt>
                <c:pt idx="7">
                  <c:v>0.88005203780942332</c:v>
                </c:pt>
                <c:pt idx="8">
                  <c:v>0.95113176339500893</c:v>
                </c:pt>
                <c:pt idx="9">
                  <c:v>0.96937884828016707</c:v>
                </c:pt>
                <c:pt idx="10">
                  <c:v>0.91151141149351833</c:v>
                </c:pt>
                <c:pt idx="11">
                  <c:v>0.80535969518319661</c:v>
                </c:pt>
                <c:pt idx="12">
                  <c:v>0.60326362260730948</c:v>
                </c:pt>
                <c:pt idx="13">
                  <c:v>0.4679777665846685</c:v>
                </c:pt>
                <c:pt idx="14">
                  <c:v>0.32142505589052983</c:v>
                </c:pt>
                <c:pt idx="15">
                  <c:v>0.23204098676982815</c:v>
                </c:pt>
                <c:pt idx="16">
                  <c:v>0.15387124876434033</c:v>
                </c:pt>
                <c:pt idx="17">
                  <c:v>0.11736667424857619</c:v>
                </c:pt>
                <c:pt idx="18">
                  <c:v>9.3588372313224241E-2</c:v>
                </c:pt>
                <c:pt idx="19">
                  <c:v>6.0076991670361797E-2</c:v>
                </c:pt>
                <c:pt idx="20">
                  <c:v>4.1085042134418111E-2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9C-40D8-8CD6-72F8D4BAA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57312"/>
        <c:axId val="170791296"/>
      </c:scatterChart>
      <c:valAx>
        <c:axId val="122157312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70791296"/>
        <c:crossesAt val="1.0000000000000026E-3"/>
        <c:crossBetween val="midCat"/>
      </c:valAx>
      <c:valAx>
        <c:axId val="17079129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22157312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BSSA14!$D$6:$D$26</c:f>
              <c:numCache>
                <c:formatCode>0.000</c:formatCode>
                <c:ptCount val="21"/>
                <c:pt idx="0" formatCode="0.0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BSSA14!$S$6:$S$26</c:f>
              <c:numCache>
                <c:formatCode>0.0000</c:formatCode>
                <c:ptCount val="21"/>
                <c:pt idx="0">
                  <c:v>0.36183980436117963</c:v>
                </c:pt>
                <c:pt idx="1">
                  <c:v>0.35342792263893102</c:v>
                </c:pt>
                <c:pt idx="2">
                  <c:v>0.36035563420131728</c:v>
                </c:pt>
                <c:pt idx="3">
                  <c:v>0.39670952558095696</c:v>
                </c:pt>
                <c:pt idx="4">
                  <c:v>0.45874000526150649</c:v>
                </c:pt>
                <c:pt idx="5">
                  <c:v>0.52373549997373703</c:v>
                </c:pt>
                <c:pt idx="6">
                  <c:v>0.62988145914471305</c:v>
                </c:pt>
                <c:pt idx="7">
                  <c:v>0.68943007207230567</c:v>
                </c:pt>
                <c:pt idx="8">
                  <c:v>0.6984316362558266</c:v>
                </c:pt>
                <c:pt idx="9">
                  <c:v>0.69881995345456926</c:v>
                </c:pt>
                <c:pt idx="10">
                  <c:v>0.66201250792980137</c:v>
                </c:pt>
                <c:pt idx="11">
                  <c:v>0.62180881280480516</c:v>
                </c:pt>
                <c:pt idx="12">
                  <c:v>0.49618084479144392</c:v>
                </c:pt>
                <c:pt idx="13">
                  <c:v>0.42212876372661429</c:v>
                </c:pt>
                <c:pt idx="14">
                  <c:v>0.32857718982483292</c:v>
                </c:pt>
                <c:pt idx="15">
                  <c:v>0.26944038698082284</c:v>
                </c:pt>
                <c:pt idx="16">
                  <c:v>0.21697065135303942</c:v>
                </c:pt>
                <c:pt idx="17">
                  <c:v>0.1879758703510705</c:v>
                </c:pt>
                <c:pt idx="18">
                  <c:v>0.16383257532200105</c:v>
                </c:pt>
                <c:pt idx="19">
                  <c:v>0.1141281276613742</c:v>
                </c:pt>
                <c:pt idx="20">
                  <c:v>7.6404781130115576E-2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67-4952-9C41-DC866F756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5360"/>
        <c:axId val="224444416"/>
      </c:scatterChart>
      <c:valAx>
        <c:axId val="223855360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24444416"/>
        <c:crossesAt val="1.0000000000000026E-3"/>
        <c:crossBetween val="midCat"/>
      </c:valAx>
      <c:valAx>
        <c:axId val="22444441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23855360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2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'CB14'!$D$6:$D$26</c:f>
              <c:numCache>
                <c:formatCode>0.000</c:formatCode>
                <c:ptCount val="21"/>
                <c:pt idx="0" formatCode="0.0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'CB14'!$Y$6:$Y$26</c:f>
              <c:numCache>
                <c:formatCode>0.0000</c:formatCode>
                <c:ptCount val="21"/>
                <c:pt idx="0">
                  <c:v>0.30031959681742626</c:v>
                </c:pt>
                <c:pt idx="1">
                  <c:v>0.30553319069087864</c:v>
                </c:pt>
                <c:pt idx="2">
                  <c:v>0.32683247663082582</c:v>
                </c:pt>
                <c:pt idx="3">
                  <c:v>0.38111750431238639</c:v>
                </c:pt>
                <c:pt idx="4">
                  <c:v>0.44824107815822867</c:v>
                </c:pt>
                <c:pt idx="5">
                  <c:v>0.49806434476735012</c:v>
                </c:pt>
                <c:pt idx="6">
                  <c:v>0.55850421195632716</c:v>
                </c:pt>
                <c:pt idx="7">
                  <c:v>0.58482218720518531</c:v>
                </c:pt>
                <c:pt idx="8">
                  <c:v>0.62474909319779903</c:v>
                </c:pt>
                <c:pt idx="9">
                  <c:v>0.64930942762561583</c:v>
                </c:pt>
                <c:pt idx="10">
                  <c:v>0.66338859356259894</c:v>
                </c:pt>
                <c:pt idx="11">
                  <c:v>0.63183265564190383</c:v>
                </c:pt>
                <c:pt idx="12">
                  <c:v>0.48775084247583184</c:v>
                </c:pt>
                <c:pt idx="13">
                  <c:v>0.41482316112110362</c:v>
                </c:pt>
                <c:pt idx="14">
                  <c:v>0.3275682143865366</c:v>
                </c:pt>
                <c:pt idx="15">
                  <c:v>0.26210473457776667</c:v>
                </c:pt>
                <c:pt idx="16">
                  <c:v>0.19513927111428425</c:v>
                </c:pt>
                <c:pt idx="17">
                  <c:v>0.15195943949934018</c:v>
                </c:pt>
                <c:pt idx="18">
                  <c:v>0.11573893331380433</c:v>
                </c:pt>
                <c:pt idx="19">
                  <c:v>5.510698281344615E-2</c:v>
                </c:pt>
                <c:pt idx="20">
                  <c:v>2.6674046105361681E-2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8F-4A52-BEE6-9FE0F05FB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05952"/>
        <c:axId val="237545728"/>
      </c:scatterChart>
      <c:valAx>
        <c:axId val="236205952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37545728"/>
        <c:crossesAt val="1.0000000000000026E-3"/>
        <c:crossBetween val="midCat"/>
      </c:valAx>
      <c:valAx>
        <c:axId val="237545728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36205952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'CY14'!$D$6:$D$26</c:f>
              <c:numCache>
                <c:formatCode>0.000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">
                  <c:v>0.5</c:v>
                </c:pt>
                <c:pt idx="12" formatCode="0.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'CY14'!$U$6:$U$26</c:f>
              <c:numCache>
                <c:formatCode>0.0000</c:formatCode>
                <c:ptCount val="21"/>
                <c:pt idx="0">
                  <c:v>0.37962427597522086</c:v>
                </c:pt>
                <c:pt idx="1">
                  <c:v>0.38196587960683642</c:v>
                </c:pt>
                <c:pt idx="2">
                  <c:v>0.39694570965883275</c:v>
                </c:pt>
                <c:pt idx="3">
                  <c:v>0.45853448464500413</c:v>
                </c:pt>
                <c:pt idx="4">
                  <c:v>0.56495109945227984</c:v>
                </c:pt>
                <c:pt idx="5">
                  <c:v>0.65595626381786432</c:v>
                </c:pt>
                <c:pt idx="6">
                  <c:v>0.7737908674823788</c:v>
                </c:pt>
                <c:pt idx="7">
                  <c:v>0.85030716924422434</c:v>
                </c:pt>
                <c:pt idx="8">
                  <c:v>0.88774165428501128</c:v>
                </c:pt>
                <c:pt idx="9">
                  <c:v>0.89057410315048413</c:v>
                </c:pt>
                <c:pt idx="10">
                  <c:v>0.85209716094681287</c:v>
                </c:pt>
                <c:pt idx="11">
                  <c:v>0.79955399941245797</c:v>
                </c:pt>
                <c:pt idx="12">
                  <c:v>0.63242906630190776</c:v>
                </c:pt>
                <c:pt idx="13">
                  <c:v>0.49545780292527897</c:v>
                </c:pt>
                <c:pt idx="14">
                  <c:v>0.3261602381569948</c:v>
                </c:pt>
                <c:pt idx="15">
                  <c:v>0.24115367165524576</c:v>
                </c:pt>
                <c:pt idx="16">
                  <c:v>0.15467313126514487</c:v>
                </c:pt>
                <c:pt idx="17">
                  <c:v>0.10467699077145866</c:v>
                </c:pt>
                <c:pt idx="18">
                  <c:v>7.2476254495694531E-2</c:v>
                </c:pt>
                <c:pt idx="19">
                  <c:v>3.5314584301426886E-2</c:v>
                </c:pt>
                <c:pt idx="20">
                  <c:v>2.0747966245423889E-2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32-4044-AE40-C58624F10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395008"/>
        <c:axId val="254709760"/>
      </c:scatterChart>
      <c:valAx>
        <c:axId val="240395008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54709760"/>
        <c:crossesAt val="1.0000000000000026E-3"/>
        <c:crossBetween val="midCat"/>
      </c:valAx>
      <c:valAx>
        <c:axId val="254709760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240395008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22" r="0.750000000000008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'I14'!$D$6:$D$26</c:f>
              <c:numCache>
                <c:formatCode>0.000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 formatCode="0.00">
                  <c:v>0.1</c:v>
                </c:pt>
                <c:pt idx="6" formatCode="0.00">
                  <c:v>0.15</c:v>
                </c:pt>
                <c:pt idx="7" formatCode="0.00">
                  <c:v>0.2</c:v>
                </c:pt>
                <c:pt idx="8" formatCode="0.00">
                  <c:v>0.25</c:v>
                </c:pt>
                <c:pt idx="9" formatCode="0.00">
                  <c:v>0.3</c:v>
                </c:pt>
                <c:pt idx="10" formatCode="0.00">
                  <c:v>0.4</c:v>
                </c:pt>
                <c:pt idx="11" formatCode="0.00">
                  <c:v>0.5</c:v>
                </c:pt>
                <c:pt idx="12" formatCode="0.00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'I14'!$L$6:$L$26</c:f>
              <c:numCache>
                <c:formatCode>0.0000</c:formatCode>
                <c:ptCount val="21"/>
                <c:pt idx="0">
                  <c:v>0.69499947301637521</c:v>
                </c:pt>
                <c:pt idx="1">
                  <c:v>0.71402008151461716</c:v>
                </c:pt>
                <c:pt idx="2">
                  <c:v>0.78360971767528909</c:v>
                </c:pt>
                <c:pt idx="3">
                  <c:v>0.71087462502212584</c:v>
                </c:pt>
                <c:pt idx="4">
                  <c:v>0.90181800711940063</c:v>
                </c:pt>
                <c:pt idx="5">
                  <c:v>1.0953969217958202</c:v>
                </c:pt>
                <c:pt idx="6">
                  <c:v>1.3113655342988222</c:v>
                </c:pt>
                <c:pt idx="7">
                  <c:v>1.2220129304179406</c:v>
                </c:pt>
                <c:pt idx="8">
                  <c:v>1.0988992554929895</c:v>
                </c:pt>
                <c:pt idx="9">
                  <c:v>0.91541716765063896</c:v>
                </c:pt>
                <c:pt idx="10">
                  <c:v>0.75189259508688788</c:v>
                </c:pt>
                <c:pt idx="11">
                  <c:v>0.67256519200536069</c:v>
                </c:pt>
                <c:pt idx="12">
                  <c:v>0.42651332976071843</c:v>
                </c:pt>
                <c:pt idx="13">
                  <c:v>0.32029348447481221</c:v>
                </c:pt>
                <c:pt idx="14">
                  <c:v>0.19723887216762293</c:v>
                </c:pt>
                <c:pt idx="15">
                  <c:v>0.15226037219519115</c:v>
                </c:pt>
                <c:pt idx="16">
                  <c:v>0.14468029259444731</c:v>
                </c:pt>
                <c:pt idx="17">
                  <c:v>0.12549050750673651</c:v>
                </c:pt>
                <c:pt idx="18">
                  <c:v>0.12475439724096617</c:v>
                </c:pt>
                <c:pt idx="19">
                  <c:v>9.4348025743598601E-2</c:v>
                </c:pt>
                <c:pt idx="20">
                  <c:v>6.2812897140002655E-2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08-47CF-AED8-6FE744A5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09344"/>
        <c:axId val="111611264"/>
      </c:scatterChart>
      <c:valAx>
        <c:axId val="111609344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Period (s)</a:t>
                </a:r>
              </a:p>
            </c:rich>
          </c:tx>
          <c:layout>
            <c:manualLayout>
              <c:xMode val="edge"/>
              <c:yMode val="edge"/>
              <c:x val="0.48283772059873276"/>
              <c:y val="0.896033317034515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11611264"/>
        <c:crossesAt val="1.0000000000000026E-3"/>
        <c:crossBetween val="midCat"/>
      </c:valAx>
      <c:valAx>
        <c:axId val="111611264"/>
        <c:scaling>
          <c:logBase val="10"/>
          <c:orientation val="minMax"/>
          <c:max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200">
                    <a:latin typeface="+mn-lt"/>
                  </a:rPr>
                  <a:t>Spectral Acceleration</a:t>
                </a:r>
                <a:r>
                  <a:rPr lang="en-US" sz="1200" baseline="0">
                    <a:latin typeface="+mn-lt"/>
                  </a:rPr>
                  <a:t> (g)</a:t>
                </a:r>
                <a:endParaRPr lang="en-US" sz="1200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3.6613326559986586E-2"/>
              <c:y val="0.334773671649582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11609344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 cmpd="dbl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91304347826464"/>
          <c:y val="9.2872796947897698E-2"/>
          <c:w val="0.7665903890160175"/>
          <c:h val="0.73074222093728602"/>
        </c:manualLayout>
      </c:layout>
      <c:scatterChart>
        <c:scatterStyle val="lineMarker"/>
        <c:varyColors val="0"/>
        <c:ser>
          <c:idx val="2"/>
          <c:order val="2"/>
          <c:tx>
            <c:strRef>
              <c:f>'GMPEs Comparison'!$G$10</c:f>
              <c:strCache>
                <c:ptCount val="1"/>
                <c:pt idx="0">
                  <c:v>CY14</c:v>
                </c:pt>
              </c:strCache>
            </c:strRef>
          </c:tx>
          <c:spPr>
            <a:ln w="38100">
              <a:solidFill>
                <a:srgbClr val="FF33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Comparison'!$G$12:$G$32</c:f>
              <c:numCache>
                <c:formatCode>0.00E+00</c:formatCode>
                <c:ptCount val="21"/>
                <c:pt idx="0">
                  <c:v>0.37962427597522086</c:v>
                </c:pt>
                <c:pt idx="1">
                  <c:v>0.38196587960683642</c:v>
                </c:pt>
                <c:pt idx="2">
                  <c:v>0.39654876394917393</c:v>
                </c:pt>
                <c:pt idx="3">
                  <c:v>0.45853448464500413</c:v>
                </c:pt>
                <c:pt idx="4">
                  <c:v>0.56664595275063656</c:v>
                </c:pt>
                <c:pt idx="5">
                  <c:v>0.65792413260931781</c:v>
                </c:pt>
                <c:pt idx="6">
                  <c:v>0.77611224008482582</c:v>
                </c:pt>
                <c:pt idx="7">
                  <c:v>0.85285809075195695</c:v>
                </c:pt>
                <c:pt idx="8">
                  <c:v>0.88951713759358131</c:v>
                </c:pt>
                <c:pt idx="9">
                  <c:v>0.89235525135678506</c:v>
                </c:pt>
                <c:pt idx="10">
                  <c:v>0.85380135526870649</c:v>
                </c:pt>
                <c:pt idx="11">
                  <c:v>0.80035355341187031</c:v>
                </c:pt>
                <c:pt idx="12">
                  <c:v>0.63242906630190776</c:v>
                </c:pt>
                <c:pt idx="13">
                  <c:v>0.49545780292527897</c:v>
                </c:pt>
                <c:pt idx="14">
                  <c:v>0.32648639839515176</c:v>
                </c:pt>
                <c:pt idx="15">
                  <c:v>0.24067136431193528</c:v>
                </c:pt>
                <c:pt idx="16">
                  <c:v>0.15467313126514487</c:v>
                </c:pt>
                <c:pt idx="17">
                  <c:v>0.1045723137806872</c:v>
                </c:pt>
                <c:pt idx="18">
                  <c:v>7.2331301986703136E-2</c:v>
                </c:pt>
                <c:pt idx="19">
                  <c:v>3.517332596422118E-2</c:v>
                </c:pt>
                <c:pt idx="20">
                  <c:v>2.0644226414196769E-2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D5-4AEA-B557-25096767BC92}"/>
            </c:ext>
          </c:extLst>
        </c:ser>
        <c:ser>
          <c:idx val="3"/>
          <c:order val="3"/>
          <c:tx>
            <c:strRef>
              <c:f>'GMPEs Comparison'!$D$10</c:f>
              <c:strCache>
                <c:ptCount val="1"/>
                <c:pt idx="0">
                  <c:v>ASK14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Comparison'!$D$12:$D$32</c:f>
              <c:numCache>
                <c:formatCode>0.00E+00</c:formatCode>
                <c:ptCount val="21"/>
                <c:pt idx="0">
                  <c:v>0.33160255623034579</c:v>
                </c:pt>
                <c:pt idx="1">
                  <c:v>0.33453096860542397</c:v>
                </c:pt>
                <c:pt idx="2">
                  <c:v>0.33424320015678755</c:v>
                </c:pt>
                <c:pt idx="3">
                  <c:v>0.36231023906326904</c:v>
                </c:pt>
                <c:pt idx="4">
                  <c:v>0.43701049907352019</c:v>
                </c:pt>
                <c:pt idx="5">
                  <c:v>0.52592710151041089</c:v>
                </c:pt>
                <c:pt idx="6">
                  <c:v>0.72786813132202788</c:v>
                </c:pt>
                <c:pt idx="7">
                  <c:v>0.88269219392285148</c:v>
                </c:pt>
                <c:pt idx="8">
                  <c:v>0.95303402692179895</c:v>
                </c:pt>
                <c:pt idx="9">
                  <c:v>0.97131760597672745</c:v>
                </c:pt>
                <c:pt idx="10">
                  <c:v>0.91333443431650541</c:v>
                </c:pt>
                <c:pt idx="11">
                  <c:v>0.80616505487837975</c:v>
                </c:pt>
                <c:pt idx="12">
                  <c:v>0.60326362260730948</c:v>
                </c:pt>
                <c:pt idx="13">
                  <c:v>0.4679777665846685</c:v>
                </c:pt>
                <c:pt idx="14">
                  <c:v>0.32174648094642033</c:v>
                </c:pt>
                <c:pt idx="15">
                  <c:v>0.23157690479628851</c:v>
                </c:pt>
                <c:pt idx="16">
                  <c:v>0.15387124876434033</c:v>
                </c:pt>
                <c:pt idx="17">
                  <c:v>0.11724930757432761</c:v>
                </c:pt>
                <c:pt idx="18">
                  <c:v>9.3401195568597786E-2</c:v>
                </c:pt>
                <c:pt idx="19">
                  <c:v>5.9836683703680352E-2</c:v>
                </c:pt>
                <c:pt idx="20">
                  <c:v>4.0879616923746018E-2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5-4AEA-B557-25096767BC92}"/>
            </c:ext>
          </c:extLst>
        </c:ser>
        <c:ser>
          <c:idx val="1"/>
          <c:order val="1"/>
          <c:tx>
            <c:strRef>
              <c:f>'GMPEs Comparison'!$E$10</c:f>
              <c:strCache>
                <c:ptCount val="1"/>
                <c:pt idx="0">
                  <c:v>BSSA14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Comparison'!$E$12:$E$32</c:f>
              <c:numCache>
                <c:formatCode>0.00E+00</c:formatCode>
                <c:ptCount val="21"/>
                <c:pt idx="0">
                  <c:v>0.36183980436117963</c:v>
                </c:pt>
                <c:pt idx="1">
                  <c:v>0.35342792263893102</c:v>
                </c:pt>
                <c:pt idx="2">
                  <c:v>0.35999527856711594</c:v>
                </c:pt>
                <c:pt idx="3">
                  <c:v>0.39670952558095696</c:v>
                </c:pt>
                <c:pt idx="4">
                  <c:v>0.46011622527729096</c:v>
                </c:pt>
                <c:pt idx="5">
                  <c:v>0.52530670647365818</c:v>
                </c:pt>
                <c:pt idx="6">
                  <c:v>0.63177110352214716</c:v>
                </c:pt>
                <c:pt idx="7">
                  <c:v>0.69149836228852246</c:v>
                </c:pt>
                <c:pt idx="8">
                  <c:v>0.69982849952833825</c:v>
                </c:pt>
                <c:pt idx="9">
                  <c:v>0.70021759336147837</c:v>
                </c:pt>
                <c:pt idx="10">
                  <c:v>0.66333653294566097</c:v>
                </c:pt>
                <c:pt idx="11">
                  <c:v>0.62243062161760987</c:v>
                </c:pt>
                <c:pt idx="12">
                  <c:v>0.49618084479144392</c:v>
                </c:pt>
                <c:pt idx="13">
                  <c:v>0.42212876372661429</c:v>
                </c:pt>
                <c:pt idx="14">
                  <c:v>0.32890576701465774</c:v>
                </c:pt>
                <c:pt idx="15">
                  <c:v>0.26890150620686121</c:v>
                </c:pt>
                <c:pt idx="16">
                  <c:v>0.21697065135303942</c:v>
                </c:pt>
                <c:pt idx="17">
                  <c:v>0.18778789448071942</c:v>
                </c:pt>
                <c:pt idx="18">
                  <c:v>0.16350491017135704</c:v>
                </c:pt>
                <c:pt idx="19">
                  <c:v>0.11367161515072871</c:v>
                </c:pt>
                <c:pt idx="20">
                  <c:v>7.6022757224464999E-2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D5-4AEA-B557-25096767BC92}"/>
            </c:ext>
          </c:extLst>
        </c:ser>
        <c:ser>
          <c:idx val="0"/>
          <c:order val="0"/>
          <c:tx>
            <c:strRef>
              <c:f>'GMPEs Comparison'!$F$10</c:f>
              <c:strCache>
                <c:ptCount val="1"/>
                <c:pt idx="0">
                  <c:v>CB14</c:v>
                </c:pt>
              </c:strCache>
            </c:strRef>
          </c:tx>
          <c:spPr>
            <a:ln w="38100">
              <a:solidFill>
                <a:srgbClr val="FFC000"/>
              </a:solidFill>
              <a:prstDash val="solid"/>
            </a:ln>
          </c:spPr>
          <c:marker>
            <c:symbol val="none"/>
          </c:marker>
          <c:xVal>
            <c:numRef>
              <c:f>'GMPEs Comparison'!$C$12:$C$32</c:f>
              <c:numCache>
                <c:formatCode>0.00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 formatCode="0.000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 formatCode="0.0">
                  <c:v>1</c:v>
                </c:pt>
                <c:pt idx="14" formatCode="0.0">
                  <c:v>1.5</c:v>
                </c:pt>
                <c:pt idx="15" formatCode="0.0">
                  <c:v>2</c:v>
                </c:pt>
                <c:pt idx="16" formatCode="0.0">
                  <c:v>3</c:v>
                </c:pt>
                <c:pt idx="17" formatCode="0.0">
                  <c:v>4</c:v>
                </c:pt>
                <c:pt idx="18" formatCode="0.0">
                  <c:v>5</c:v>
                </c:pt>
                <c:pt idx="19" formatCode="0.0">
                  <c:v>7.5</c:v>
                </c:pt>
                <c:pt idx="20" formatCode="0.0">
                  <c:v>10</c:v>
                </c:pt>
              </c:numCache>
            </c:numRef>
          </c:xVal>
          <c:yVal>
            <c:numRef>
              <c:f>'GMPEs Comparison'!$F$12:$F$32</c:f>
              <c:numCache>
                <c:formatCode>0.00E+00</c:formatCode>
                <c:ptCount val="21"/>
                <c:pt idx="0">
                  <c:v>0.30031959681742626</c:v>
                </c:pt>
                <c:pt idx="1">
                  <c:v>0.30553319069087864</c:v>
                </c:pt>
                <c:pt idx="2">
                  <c:v>0.32650564415419497</c:v>
                </c:pt>
                <c:pt idx="3">
                  <c:v>0.38111750431238639</c:v>
                </c:pt>
                <c:pt idx="4">
                  <c:v>0.44958580139270332</c:v>
                </c:pt>
                <c:pt idx="5">
                  <c:v>0.4995585378016521</c:v>
                </c:pt>
                <c:pt idx="6">
                  <c:v>0.56017972459219612</c:v>
                </c:pt>
                <c:pt idx="7">
                  <c:v>0.58657665376680079</c:v>
                </c:pt>
                <c:pt idx="8">
                  <c:v>0.62599859138419467</c:v>
                </c:pt>
                <c:pt idx="9">
                  <c:v>0.65060804648086712</c:v>
                </c:pt>
                <c:pt idx="10">
                  <c:v>0.66471537074972409</c:v>
                </c:pt>
                <c:pt idx="11">
                  <c:v>0.63246448829754565</c:v>
                </c:pt>
                <c:pt idx="12">
                  <c:v>0.48775084247583184</c:v>
                </c:pt>
                <c:pt idx="13">
                  <c:v>0.41482316112110362</c:v>
                </c:pt>
                <c:pt idx="14">
                  <c:v>0.32789578260092311</c:v>
                </c:pt>
                <c:pt idx="15">
                  <c:v>0.26158052510861113</c:v>
                </c:pt>
                <c:pt idx="16">
                  <c:v>0.19513927111428425</c:v>
                </c:pt>
                <c:pt idx="17">
                  <c:v>0.15180748005984085</c:v>
                </c:pt>
                <c:pt idx="18">
                  <c:v>0.11550745544717672</c:v>
                </c:pt>
                <c:pt idx="19">
                  <c:v>5.4886554882192365E-2</c:v>
                </c:pt>
                <c:pt idx="20">
                  <c:v>2.6540675874834871E-2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5-4AEA-B557-25096767B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48224"/>
        <c:axId val="111750144"/>
      </c:scatterChart>
      <c:valAx>
        <c:axId val="111748224"/>
        <c:scaling>
          <c:logBase val="10"/>
          <c:orientation val="minMax"/>
          <c:max val="10"/>
          <c:min val="1.0000000000000005E-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Period (sec)</a:t>
                </a:r>
              </a:p>
            </c:rich>
          </c:tx>
          <c:layout>
            <c:manualLayout>
              <c:xMode val="edge"/>
              <c:yMode val="edge"/>
              <c:x val="0.48283763391056561"/>
              <c:y val="0.861771965329396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750144"/>
        <c:crossesAt val="1.0000000000000026E-3"/>
        <c:crossBetween val="midCat"/>
      </c:valAx>
      <c:valAx>
        <c:axId val="111750144"/>
        <c:scaling>
          <c:logBase val="10"/>
          <c:orientation val="minMax"/>
          <c:max val="4"/>
          <c:min val="1.0000000000000026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Pseudo </a:t>
                </a:r>
              </a:p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Spectral Acceleration</a:t>
                </a:r>
                <a:r>
                  <a:rPr lang="en-US" baseline="0"/>
                  <a:t> (g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2.9027942303672252E-2"/>
              <c:y val="0.253465210577289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748224"/>
        <c:crossesAt val="1.0000000000000026E-3"/>
        <c:crossBetween val="midCat"/>
      </c:valAx>
      <c:spPr>
        <a:solidFill>
          <a:schemeClr val="bg2">
            <a:lumMod val="9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2226027056352512E-2"/>
          <c:y val="0.92582199294054235"/>
          <c:w val="0.91643110982808496"/>
          <c:h val="4.751619870410372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8100" cmpd="thickThin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22" r="0.750000000000007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xVal>
            <c:numRef>
              <c:f>DSF!$A$22:$A$42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DSF!$S$22:$S$42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0.999</c:v>
                </c:pt>
                <c:pt idx="3">
                  <c:v>1</c:v>
                </c:pt>
                <c:pt idx="4">
                  <c:v>1.0029999999999999</c:v>
                </c:pt>
                <c:pt idx="5">
                  <c:v>1.0029999999999999</c:v>
                </c:pt>
                <c:pt idx="6">
                  <c:v>1.0029999999999999</c:v>
                </c:pt>
                <c:pt idx="7">
                  <c:v>1.0029999999999999</c:v>
                </c:pt>
                <c:pt idx="8">
                  <c:v>1.002</c:v>
                </c:pt>
                <c:pt idx="9">
                  <c:v>1.002</c:v>
                </c:pt>
                <c:pt idx="10">
                  <c:v>1.002</c:v>
                </c:pt>
                <c:pt idx="11">
                  <c:v>1.0009999999999999</c:v>
                </c:pt>
                <c:pt idx="12">
                  <c:v>1</c:v>
                </c:pt>
                <c:pt idx="13">
                  <c:v>1</c:v>
                </c:pt>
                <c:pt idx="14">
                  <c:v>1.0009999999999999</c:v>
                </c:pt>
                <c:pt idx="15">
                  <c:v>0.998</c:v>
                </c:pt>
                <c:pt idx="16">
                  <c:v>1</c:v>
                </c:pt>
                <c:pt idx="17">
                  <c:v>0.999</c:v>
                </c:pt>
                <c:pt idx="18">
                  <c:v>0.998</c:v>
                </c:pt>
                <c:pt idx="19">
                  <c:v>0.996</c:v>
                </c:pt>
                <c:pt idx="20">
                  <c:v>0.995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B9-486C-8ED8-E6CE2BDAC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801856"/>
        <c:axId val="111803776"/>
      </c:scatterChart>
      <c:valAx>
        <c:axId val="111801856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Period, 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1803776"/>
        <c:crossesAt val="0"/>
        <c:crossBetween val="midCat"/>
      </c:valAx>
      <c:valAx>
        <c:axId val="111803776"/>
        <c:scaling>
          <c:orientation val="minMax"/>
          <c:max val="2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DSF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1801856"/>
        <c:crossesAt val="1.0000000000000005E-2"/>
        <c:crossBetween val="midCat"/>
      </c:valAx>
    </c:plotArea>
    <c:plotVisOnly val="1"/>
    <c:dispBlanksAs val="gap"/>
    <c:showDLblsOverMax val="0"/>
  </c:chart>
  <c:printSettings>
    <c:headerFooter/>
    <c:pageMargins b="0.75000000000000422" l="0.70000000000000162" r="0.70000000000000162" t="0.750000000000004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xVal>
            <c:numRef>
              <c:f>DSF!$A$22:$A$42</c:f>
              <c:numCache>
                <c:formatCode>General</c:formatCode>
                <c:ptCount val="21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7.5</c:v>
                </c:pt>
                <c:pt idx="20">
                  <c:v>10</c:v>
                </c:pt>
              </c:numCache>
            </c:numRef>
          </c:xVal>
          <c:yVal>
            <c:numRef>
              <c:f>DSF!$W$22:$W$42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C0-4D97-BDCE-B8AA1D35C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46784"/>
        <c:axId val="121873536"/>
      </c:scatterChart>
      <c:valAx>
        <c:axId val="12184678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Period, 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873536"/>
        <c:crossesAt val="0"/>
        <c:crossBetween val="midCat"/>
      </c:valAx>
      <c:valAx>
        <c:axId val="1218735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Stdv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21846784"/>
        <c:crossesAt val="1.0000000000000005E-2"/>
        <c:crossBetween val="midCat"/>
      </c:valAx>
    </c:plotArea>
    <c:plotVisOnly val="1"/>
    <c:dispBlanksAs val="gap"/>
    <c:showDLblsOverMax val="0"/>
  </c:chart>
  <c:printSettings>
    <c:headerFooter/>
    <c:pageMargins b="0.75000000000000422" l="0.70000000000000162" r="0.70000000000000162" t="0.750000000000004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image" Target="../media/image2.png"/><Relationship Id="rId7" Type="http://schemas.openxmlformats.org/officeDocument/2006/relationships/image" Target="../media/image6.jpe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jpeg"/><Relationship Id="rId5" Type="http://schemas.openxmlformats.org/officeDocument/2006/relationships/image" Target="../media/image4.emf"/><Relationship Id="rId4" Type="http://schemas.openxmlformats.org/officeDocument/2006/relationships/image" Target="../media/image3.png"/><Relationship Id="rId9" Type="http://schemas.openxmlformats.org/officeDocument/2006/relationships/image" Target="../media/image8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21</xdr:row>
      <xdr:rowOff>0</xdr:rowOff>
    </xdr:from>
    <xdr:to>
      <xdr:col>21</xdr:col>
      <xdr:colOff>209550</xdr:colOff>
      <xdr:row>43</xdr:row>
      <xdr:rowOff>142876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14807</xdr:colOff>
      <xdr:row>46</xdr:row>
      <xdr:rowOff>145732</xdr:rowOff>
    </xdr:from>
    <xdr:to>
      <xdr:col>14</xdr:col>
      <xdr:colOff>221182</xdr:colOff>
      <xdr:row>60</xdr:row>
      <xdr:rowOff>30690</xdr:rowOff>
    </xdr:to>
    <xdr:pic>
      <xdr:nvPicPr>
        <xdr:cNvPr id="3" name="Picture 20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01107" y="10623232"/>
          <a:ext cx="5692775" cy="2637683"/>
        </a:xfrm>
        <a:prstGeom prst="rect">
          <a:avLst/>
        </a:prstGeom>
        <a:noFill/>
        <a:ln w="19050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 editAs="oneCell">
    <xdr:from>
      <xdr:col>14</xdr:col>
      <xdr:colOff>311147</xdr:colOff>
      <xdr:row>45</xdr:row>
      <xdr:rowOff>160432</xdr:rowOff>
    </xdr:from>
    <xdr:to>
      <xdr:col>19</xdr:col>
      <xdr:colOff>513288</xdr:colOff>
      <xdr:row>60</xdr:row>
      <xdr:rowOff>8712</xdr:rowOff>
    </xdr:to>
    <xdr:pic>
      <xdr:nvPicPr>
        <xdr:cNvPr id="4" name="Picture 2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988672" y="10418857"/>
          <a:ext cx="3250141" cy="2791505"/>
        </a:xfrm>
        <a:prstGeom prst="rect">
          <a:avLst/>
        </a:prstGeom>
        <a:noFill/>
        <a:ln w="19050">
          <a:solidFill>
            <a:schemeClr val="tx1"/>
          </a:solidFill>
          <a:miter lim="800000"/>
          <a:headEnd/>
          <a:tailEnd/>
        </a:ln>
      </xdr:spPr>
    </xdr:pic>
    <xdr:clientData/>
  </xdr:twoCellAnchor>
  <xdr:twoCellAnchor>
    <xdr:from>
      <xdr:col>13</xdr:col>
      <xdr:colOff>240500</xdr:colOff>
      <xdr:row>1</xdr:row>
      <xdr:rowOff>19049</xdr:rowOff>
    </xdr:from>
    <xdr:to>
      <xdr:col>13</xdr:col>
      <xdr:colOff>646642</xdr:colOff>
      <xdr:row>3</xdr:row>
      <xdr:rowOff>19049</xdr:rowOff>
    </xdr:to>
    <xdr:pic>
      <xdr:nvPicPr>
        <xdr:cNvPr id="2071" name="Picture 23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0260800" y="304799"/>
          <a:ext cx="406142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129115</xdr:colOff>
      <xdr:row>60</xdr:row>
      <xdr:rowOff>213781</xdr:rowOff>
    </xdr:from>
    <xdr:to>
      <xdr:col>13</xdr:col>
      <xdr:colOff>25374</xdr:colOff>
      <xdr:row>72</xdr:row>
      <xdr:rowOff>38434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815415" y="13577356"/>
          <a:ext cx="4592084" cy="2215428"/>
        </a:xfrm>
        <a:prstGeom prst="rect">
          <a:avLst/>
        </a:prstGeom>
        <a:noFill/>
        <a:ln w="19050">
          <a:solidFill>
            <a:schemeClr val="tx1"/>
          </a:solidFill>
        </a:ln>
      </xdr:spPr>
    </xdr:pic>
    <xdr:clientData/>
  </xdr:twoCellAnchor>
  <xdr:twoCellAnchor>
    <xdr:from>
      <xdr:col>5</xdr:col>
      <xdr:colOff>180974</xdr:colOff>
      <xdr:row>118</xdr:row>
      <xdr:rowOff>85724</xdr:rowOff>
    </xdr:from>
    <xdr:to>
      <xdr:col>13</xdr:col>
      <xdr:colOff>721107</xdr:colOff>
      <xdr:row>122</xdr:row>
      <xdr:rowOff>95249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388999" y="24190120"/>
          <a:ext cx="6301221" cy="767428"/>
          <a:chOff x="4585778" y="24955500"/>
          <a:chExt cx="6136579" cy="742950"/>
        </a:xfrm>
      </xdr:grpSpPr>
      <xdr:pic>
        <xdr:nvPicPr>
          <xdr:cNvPr id="10" name="Picture 9" descr="CEA.jpg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4585778" y="25003125"/>
            <a:ext cx="1638301" cy="695325"/>
          </a:xfrm>
          <a:prstGeom prst="rect">
            <a:avLst/>
          </a:prstGeom>
        </xdr:spPr>
      </xdr:pic>
      <xdr:pic>
        <xdr:nvPicPr>
          <xdr:cNvPr id="11" name="Picture 10" descr="caltrans.jpg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/>
          <a:stretch>
            <a:fillRect/>
          </a:stretch>
        </xdr:blipFill>
        <xdr:spPr>
          <a:xfrm>
            <a:off x="6490781" y="25047625"/>
            <a:ext cx="819151" cy="630361"/>
          </a:xfrm>
          <a:prstGeom prst="rect">
            <a:avLst/>
          </a:prstGeom>
        </xdr:spPr>
      </xdr:pic>
      <xdr:pic>
        <xdr:nvPicPr>
          <xdr:cNvPr id="12" name="Picture 11" descr="PGE.jpg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/>
          <a:srcRect r="77043"/>
          <a:stretch>
            <a:fillRect/>
          </a:stretch>
        </xdr:blipFill>
        <xdr:spPr>
          <a:xfrm>
            <a:off x="7471856" y="24997747"/>
            <a:ext cx="894338" cy="691177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8686800" y="24955500"/>
            <a:ext cx="2035557" cy="6768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13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Nick Gregor, Bechtel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Silvia Mazzoni</a:t>
            </a:r>
            <a:r>
              <a:rPr lang="en-US" sz="13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, Consultant </a:t>
            </a:r>
          </a:p>
          <a:p>
            <a:r>
              <a:rPr lang="en-US" sz="1300" b="1"/>
              <a:t>Sanaz</a:t>
            </a:r>
            <a:r>
              <a:rPr lang="en-US" sz="1300" b="1" baseline="0"/>
              <a:t> Rezaeian, USGS</a:t>
            </a:r>
          </a:p>
        </xdr:txBody>
      </xdr:sp>
    </xdr:grpSp>
    <xdr:clientData/>
  </xdr:twoCellAnchor>
  <xdr:oneCellAnchor>
    <xdr:from>
      <xdr:col>4</xdr:col>
      <xdr:colOff>476250</xdr:colOff>
      <xdr:row>122</xdr:row>
      <xdr:rowOff>171450</xdr:rowOff>
    </xdr:from>
    <xdr:ext cx="6661632" cy="29585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4400550" y="26003250"/>
          <a:ext cx="6661632" cy="295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300" b="1" i="1">
              <a:solidFill>
                <a:schemeClr val="tx1"/>
              </a:solidFill>
              <a:latin typeface="+mn-lt"/>
              <a:ea typeface="+mn-ea"/>
              <a:cs typeface="+mn-cs"/>
            </a:rPr>
            <a:t>All NGA</a:t>
          </a:r>
          <a:r>
            <a:rPr lang="en-US" sz="1300" b="1" i="1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sz="1300" b="1" i="1">
              <a:solidFill>
                <a:schemeClr val="tx1"/>
              </a:solidFill>
              <a:latin typeface="+mn-lt"/>
              <a:ea typeface="+mn-ea"/>
              <a:cs typeface="+mn-cs"/>
            </a:rPr>
            <a:t>West-2 participants are acknowledged for their constructive comments and feedback.</a:t>
          </a:r>
          <a:endParaRPr lang="en-US" sz="1300" b="1" i="1"/>
        </a:p>
      </xdr:txBody>
    </xdr:sp>
    <xdr:clientData/>
  </xdr:oneCellAnchor>
  <xdr:twoCellAnchor>
    <xdr:from>
      <xdr:col>13</xdr:col>
      <xdr:colOff>178182</xdr:colOff>
      <xdr:row>60</xdr:row>
      <xdr:rowOff>82563</xdr:rowOff>
    </xdr:from>
    <xdr:to>
      <xdr:col>22</xdr:col>
      <xdr:colOff>3451</xdr:colOff>
      <xdr:row>74</xdr:row>
      <xdr:rowOff>131210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11147295" y="12787685"/>
          <a:ext cx="5878253" cy="2650098"/>
          <a:chOff x="10198482" y="13350888"/>
          <a:chExt cx="5492644" cy="2772797"/>
        </a:xfrm>
      </xdr:grpSpPr>
      <xdr:pic>
        <xdr:nvPicPr>
          <xdr:cNvPr id="8" name="Picture 7" descr="Figure for NGA - HW.jpg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rcRect t="7004"/>
          <a:stretch>
            <a:fillRect/>
          </a:stretch>
        </xdr:blipFill>
        <xdr:spPr>
          <a:xfrm>
            <a:off x="10198482" y="13350888"/>
            <a:ext cx="5438387" cy="2726264"/>
          </a:xfrm>
          <a:prstGeom prst="rect">
            <a:avLst/>
          </a:prstGeom>
          <a:ln w="19050">
            <a:solidFill>
              <a:schemeClr val="tx1"/>
            </a:solidFill>
          </a:ln>
        </xdr:spPr>
      </xdr:pic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3916025" y="15859125"/>
            <a:ext cx="177510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1100" i="1"/>
              <a:t>Courtesy: Jennifer Donahue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323850</xdr:colOff>
      <xdr:row>2</xdr:row>
      <xdr:rowOff>85725</xdr:rowOff>
    </xdr:from>
    <xdr:to>
      <xdr:col>4</xdr:col>
      <xdr:colOff>619125</xdr:colOff>
      <xdr:row>2</xdr:row>
      <xdr:rowOff>363284</xdr:rowOff>
    </xdr:to>
    <xdr:pic>
      <xdr:nvPicPr>
        <xdr:cNvPr id="5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14825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333375</xdr:colOff>
      <xdr:row>2</xdr:row>
      <xdr:rowOff>85725</xdr:rowOff>
    </xdr:from>
    <xdr:to>
      <xdr:col>3</xdr:col>
      <xdr:colOff>628650</xdr:colOff>
      <xdr:row>2</xdr:row>
      <xdr:rowOff>363284</xdr:rowOff>
    </xdr:to>
    <xdr:pic>
      <xdr:nvPicPr>
        <xdr:cNvPr id="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9950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333375</xdr:colOff>
      <xdr:row>2</xdr:row>
      <xdr:rowOff>85725</xdr:rowOff>
    </xdr:from>
    <xdr:to>
      <xdr:col>2</xdr:col>
      <xdr:colOff>628650</xdr:colOff>
      <xdr:row>2</xdr:row>
      <xdr:rowOff>363284</xdr:rowOff>
    </xdr:to>
    <xdr:pic>
      <xdr:nvPicPr>
        <xdr:cNvPr id="7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5550" y="3333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323850</xdr:colOff>
      <xdr:row>2</xdr:row>
      <xdr:rowOff>95250</xdr:rowOff>
    </xdr:from>
    <xdr:to>
      <xdr:col>1</xdr:col>
      <xdr:colOff>619125</xdr:colOff>
      <xdr:row>2</xdr:row>
      <xdr:rowOff>372809</xdr:rowOff>
    </xdr:to>
    <xdr:pic>
      <xdr:nvPicPr>
        <xdr:cNvPr id="8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3429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7</xdr:row>
      <xdr:rowOff>57150</xdr:rowOff>
    </xdr:from>
    <xdr:to>
      <xdr:col>3</xdr:col>
      <xdr:colOff>619125</xdr:colOff>
      <xdr:row>7</xdr:row>
      <xdr:rowOff>334709</xdr:rowOff>
    </xdr:to>
    <xdr:pic>
      <xdr:nvPicPr>
        <xdr:cNvPr id="10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40767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8</xdr:row>
      <xdr:rowOff>0</xdr:rowOff>
    </xdr:from>
    <xdr:to>
      <xdr:col>3</xdr:col>
      <xdr:colOff>619125</xdr:colOff>
      <xdr:row>9</xdr:row>
      <xdr:rowOff>39434</xdr:rowOff>
    </xdr:to>
    <xdr:pic>
      <xdr:nvPicPr>
        <xdr:cNvPr id="13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323850</xdr:colOff>
      <xdr:row>8</xdr:row>
      <xdr:rowOff>0</xdr:rowOff>
    </xdr:from>
    <xdr:to>
      <xdr:col>2</xdr:col>
      <xdr:colOff>619125</xdr:colOff>
      <xdr:row>9</xdr:row>
      <xdr:rowOff>39434</xdr:rowOff>
    </xdr:to>
    <xdr:pic>
      <xdr:nvPicPr>
        <xdr:cNvPr id="1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86025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285750</xdr:colOff>
      <xdr:row>5</xdr:row>
      <xdr:rowOff>1104900</xdr:rowOff>
    </xdr:from>
    <xdr:to>
      <xdr:col>1</xdr:col>
      <xdr:colOff>581025</xdr:colOff>
      <xdr:row>7</xdr:row>
      <xdr:rowOff>39434</xdr:rowOff>
    </xdr:to>
    <xdr:pic>
      <xdr:nvPicPr>
        <xdr:cNvPr id="18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3525" y="40100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304800</xdr:colOff>
      <xdr:row>7</xdr:row>
      <xdr:rowOff>57150</xdr:rowOff>
    </xdr:from>
    <xdr:to>
      <xdr:col>1</xdr:col>
      <xdr:colOff>600075</xdr:colOff>
      <xdr:row>7</xdr:row>
      <xdr:rowOff>334709</xdr:rowOff>
    </xdr:to>
    <xdr:pic>
      <xdr:nvPicPr>
        <xdr:cNvPr id="19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2575" y="44577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333375</xdr:colOff>
      <xdr:row>8</xdr:row>
      <xdr:rowOff>0</xdr:rowOff>
    </xdr:from>
    <xdr:to>
      <xdr:col>4</xdr:col>
      <xdr:colOff>628650</xdr:colOff>
      <xdr:row>9</xdr:row>
      <xdr:rowOff>39434</xdr:rowOff>
    </xdr:to>
    <xdr:pic>
      <xdr:nvPicPr>
        <xdr:cNvPr id="22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24350" y="37147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342900</xdr:colOff>
      <xdr:row>7</xdr:row>
      <xdr:rowOff>38100</xdr:rowOff>
    </xdr:from>
    <xdr:to>
      <xdr:col>4</xdr:col>
      <xdr:colOff>638175</xdr:colOff>
      <xdr:row>7</xdr:row>
      <xdr:rowOff>315659</xdr:rowOff>
    </xdr:to>
    <xdr:pic>
      <xdr:nvPicPr>
        <xdr:cNvPr id="24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33875" y="40576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295275</xdr:colOff>
      <xdr:row>5</xdr:row>
      <xdr:rowOff>1104900</xdr:rowOff>
    </xdr:from>
    <xdr:to>
      <xdr:col>2</xdr:col>
      <xdr:colOff>590550</xdr:colOff>
      <xdr:row>7</xdr:row>
      <xdr:rowOff>39434</xdr:rowOff>
    </xdr:to>
    <xdr:pic>
      <xdr:nvPicPr>
        <xdr:cNvPr id="20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57450" y="40100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323850</xdr:colOff>
      <xdr:row>5</xdr:row>
      <xdr:rowOff>1114425</xdr:rowOff>
    </xdr:from>
    <xdr:to>
      <xdr:col>3</xdr:col>
      <xdr:colOff>619125</xdr:colOff>
      <xdr:row>7</xdr:row>
      <xdr:rowOff>39434</xdr:rowOff>
    </xdr:to>
    <xdr:pic>
      <xdr:nvPicPr>
        <xdr:cNvPr id="21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0425" y="40195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381000</xdr:colOff>
      <xdr:row>4</xdr:row>
      <xdr:rowOff>257175</xdr:rowOff>
    </xdr:from>
    <xdr:to>
      <xdr:col>1</xdr:col>
      <xdr:colOff>676275</xdr:colOff>
      <xdr:row>4</xdr:row>
      <xdr:rowOff>534734</xdr:rowOff>
    </xdr:to>
    <xdr:pic>
      <xdr:nvPicPr>
        <xdr:cNvPr id="25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28775" y="16383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323849</xdr:colOff>
      <xdr:row>0</xdr:row>
      <xdr:rowOff>227266</xdr:rowOff>
    </xdr:from>
    <xdr:to>
      <xdr:col>5</xdr:col>
      <xdr:colOff>619124</xdr:colOff>
      <xdr:row>2</xdr:row>
      <xdr:rowOff>28575</xdr:rowOff>
    </xdr:to>
    <xdr:pic>
      <xdr:nvPicPr>
        <xdr:cNvPr id="17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4" y="227266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323850</xdr:colOff>
      <xdr:row>0</xdr:row>
      <xdr:rowOff>228600</xdr:rowOff>
    </xdr:from>
    <xdr:to>
      <xdr:col>4</xdr:col>
      <xdr:colOff>619125</xdr:colOff>
      <xdr:row>2</xdr:row>
      <xdr:rowOff>29909</xdr:rowOff>
    </xdr:to>
    <xdr:pic>
      <xdr:nvPicPr>
        <xdr:cNvPr id="23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14825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333375</xdr:colOff>
      <xdr:row>0</xdr:row>
      <xdr:rowOff>228600</xdr:rowOff>
    </xdr:from>
    <xdr:to>
      <xdr:col>3</xdr:col>
      <xdr:colOff>628650</xdr:colOff>
      <xdr:row>2</xdr:row>
      <xdr:rowOff>29909</xdr:rowOff>
    </xdr:to>
    <xdr:pic>
      <xdr:nvPicPr>
        <xdr:cNvPr id="2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09950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333375</xdr:colOff>
      <xdr:row>0</xdr:row>
      <xdr:rowOff>228600</xdr:rowOff>
    </xdr:from>
    <xdr:to>
      <xdr:col>2</xdr:col>
      <xdr:colOff>628650</xdr:colOff>
      <xdr:row>2</xdr:row>
      <xdr:rowOff>29909</xdr:rowOff>
    </xdr:to>
    <xdr:pic>
      <xdr:nvPicPr>
        <xdr:cNvPr id="27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5550" y="2286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323850</xdr:colOff>
      <xdr:row>0</xdr:row>
      <xdr:rowOff>238125</xdr:rowOff>
    </xdr:from>
    <xdr:to>
      <xdr:col>1</xdr:col>
      <xdr:colOff>619125</xdr:colOff>
      <xdr:row>2</xdr:row>
      <xdr:rowOff>39434</xdr:rowOff>
    </xdr:to>
    <xdr:pic>
      <xdr:nvPicPr>
        <xdr:cNvPr id="28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71625" y="2381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2</xdr:row>
      <xdr:rowOff>152400</xdr:rowOff>
    </xdr:from>
    <xdr:to>
      <xdr:col>5</xdr:col>
      <xdr:colOff>619125</xdr:colOff>
      <xdr:row>2</xdr:row>
      <xdr:rowOff>429959</xdr:rowOff>
    </xdr:to>
    <xdr:pic>
      <xdr:nvPicPr>
        <xdr:cNvPr id="29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6286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314325</xdr:colOff>
      <xdr:row>3</xdr:row>
      <xdr:rowOff>104775</xdr:rowOff>
    </xdr:from>
    <xdr:to>
      <xdr:col>5</xdr:col>
      <xdr:colOff>609600</xdr:colOff>
      <xdr:row>3</xdr:row>
      <xdr:rowOff>382334</xdr:rowOff>
    </xdr:to>
    <xdr:pic>
      <xdr:nvPicPr>
        <xdr:cNvPr id="30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19700" y="106680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352425</xdr:colOff>
      <xdr:row>4</xdr:row>
      <xdr:rowOff>266700</xdr:rowOff>
    </xdr:from>
    <xdr:to>
      <xdr:col>5</xdr:col>
      <xdr:colOff>647700</xdr:colOff>
      <xdr:row>4</xdr:row>
      <xdr:rowOff>544259</xdr:rowOff>
    </xdr:to>
    <xdr:pic>
      <xdr:nvPicPr>
        <xdr:cNvPr id="31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57800" y="16478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333375</xdr:colOff>
      <xdr:row>5</xdr:row>
      <xdr:rowOff>352425</xdr:rowOff>
    </xdr:from>
    <xdr:to>
      <xdr:col>5</xdr:col>
      <xdr:colOff>628650</xdr:colOff>
      <xdr:row>5</xdr:row>
      <xdr:rowOff>629984</xdr:rowOff>
    </xdr:to>
    <xdr:pic>
      <xdr:nvPicPr>
        <xdr:cNvPr id="32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38750" y="2495550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5</xdr:row>
      <xdr:rowOff>933450</xdr:rowOff>
    </xdr:from>
    <xdr:to>
      <xdr:col>5</xdr:col>
      <xdr:colOff>619125</xdr:colOff>
      <xdr:row>7</xdr:row>
      <xdr:rowOff>20384</xdr:rowOff>
    </xdr:to>
    <xdr:pic>
      <xdr:nvPicPr>
        <xdr:cNvPr id="33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30765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314325</xdr:colOff>
      <xdr:row>7</xdr:row>
      <xdr:rowOff>66675</xdr:rowOff>
    </xdr:from>
    <xdr:to>
      <xdr:col>5</xdr:col>
      <xdr:colOff>609600</xdr:colOff>
      <xdr:row>7</xdr:row>
      <xdr:rowOff>344234</xdr:rowOff>
    </xdr:to>
    <xdr:pic>
      <xdr:nvPicPr>
        <xdr:cNvPr id="34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19700" y="340042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323850</xdr:colOff>
      <xdr:row>8</xdr:row>
      <xdr:rowOff>9525</xdr:rowOff>
    </xdr:from>
    <xdr:to>
      <xdr:col>5</xdr:col>
      <xdr:colOff>619125</xdr:colOff>
      <xdr:row>9</xdr:row>
      <xdr:rowOff>48959</xdr:rowOff>
    </xdr:to>
    <xdr:pic>
      <xdr:nvPicPr>
        <xdr:cNvPr id="35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229225" y="3724275"/>
          <a:ext cx="295275" cy="27755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342900</xdr:colOff>
      <xdr:row>5</xdr:row>
      <xdr:rowOff>933450</xdr:rowOff>
    </xdr:from>
    <xdr:to>
      <xdr:col>4</xdr:col>
      <xdr:colOff>638175</xdr:colOff>
      <xdr:row>7</xdr:row>
      <xdr:rowOff>20384</xdr:rowOff>
    </xdr:to>
    <xdr:pic>
      <xdr:nvPicPr>
        <xdr:cNvPr id="36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33875" y="3076575"/>
          <a:ext cx="295275" cy="277559"/>
        </a:xfrm>
        <a:prstGeom prst="rect">
          <a:avLst/>
        </a:prstGeom>
        <a:noFill/>
      </xdr:spPr>
    </xdr:pic>
    <xdr:clientData/>
  </xdr:twoCellAnchor>
  <xdr:oneCellAnchor>
    <xdr:from>
      <xdr:col>1</xdr:col>
      <xdr:colOff>323850</xdr:colOff>
      <xdr:row>7</xdr:row>
      <xdr:rowOff>0</xdr:rowOff>
    </xdr:from>
    <xdr:ext cx="295275" cy="277559"/>
    <xdr:pic>
      <xdr:nvPicPr>
        <xdr:cNvPr id="41" name="Picture 2" descr="http://solidwize.com/wp-content/uploads/2012/04/Green-Check-Mark.jp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86025" y="3714750"/>
          <a:ext cx="295275" cy="277559"/>
        </a:xfrm>
        <a:prstGeom prst="rect">
          <a:avLst/>
        </a:prstGeom>
        <a:noFill/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3</xdr:row>
      <xdr:rowOff>142875</xdr:rowOff>
    </xdr:from>
    <xdr:to>
      <xdr:col>15</xdr:col>
      <xdr:colOff>66675</xdr:colOff>
      <xdr:row>27</xdr:row>
      <xdr:rowOff>19050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142875</xdr:colOff>
      <xdr:row>3</xdr:row>
      <xdr:rowOff>142875</xdr:rowOff>
    </xdr:from>
    <xdr:to>
      <xdr:col>28</xdr:col>
      <xdr:colOff>209550</xdr:colOff>
      <xdr:row>26</xdr:row>
      <xdr:rowOff>171450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133350</xdr:colOff>
      <xdr:row>3</xdr:row>
      <xdr:rowOff>142875</xdr:rowOff>
    </xdr:from>
    <xdr:to>
      <xdr:col>34</xdr:col>
      <xdr:colOff>200025</xdr:colOff>
      <xdr:row>27</xdr:row>
      <xdr:rowOff>9525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142875</xdr:colOff>
      <xdr:row>5</xdr:row>
      <xdr:rowOff>57150</xdr:rowOff>
    </xdr:from>
    <xdr:to>
      <xdr:col>31</xdr:col>
      <xdr:colOff>19050</xdr:colOff>
      <xdr:row>25</xdr:row>
      <xdr:rowOff>152400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4</xdr:row>
      <xdr:rowOff>123825</xdr:rowOff>
    </xdr:from>
    <xdr:to>
      <xdr:col>22</xdr:col>
      <xdr:colOff>9525</xdr:colOff>
      <xdr:row>25</xdr:row>
      <xdr:rowOff>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295275</xdr:colOff>
      <xdr:row>10</xdr:row>
      <xdr:rowOff>266700</xdr:rowOff>
    </xdr:from>
    <xdr:to>
      <xdr:col>16</xdr:col>
      <xdr:colOff>441325</xdr:colOff>
      <xdr:row>33</xdr:row>
      <xdr:rowOff>33867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43</xdr:row>
      <xdr:rowOff>161925</xdr:rowOff>
    </xdr:from>
    <xdr:to>
      <xdr:col>8</xdr:col>
      <xdr:colOff>400050</xdr:colOff>
      <xdr:row>58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428625</xdr:colOff>
      <xdr:row>43</xdr:row>
      <xdr:rowOff>152400</xdr:rowOff>
    </xdr:from>
    <xdr:to>
      <xdr:col>17</xdr:col>
      <xdr:colOff>304800</xdr:colOff>
      <xdr:row>58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0</xdr:row>
      <xdr:rowOff>57150</xdr:rowOff>
    </xdr:from>
    <xdr:to>
      <xdr:col>0</xdr:col>
      <xdr:colOff>535258</xdr:colOff>
      <xdr:row>2</xdr:row>
      <xdr:rowOff>112183</xdr:rowOff>
    </xdr:to>
    <xdr:pic>
      <xdr:nvPicPr>
        <xdr:cNvPr id="5" name="Picture 23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52400" y="57150"/>
          <a:ext cx="382858" cy="4550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28575</xdr:rowOff>
    </xdr:from>
    <xdr:to>
      <xdr:col>9</xdr:col>
      <xdr:colOff>28575</xdr:colOff>
      <xdr:row>27</xdr:row>
      <xdr:rowOff>28575</xdr:rowOff>
    </xdr:to>
    <xdr:pic>
      <xdr:nvPicPr>
        <xdr:cNvPr id="5121" name="Picture 1">
          <a:extLst>
            <a:ext uri="{FF2B5EF4-FFF2-40B4-BE49-F238E27FC236}">
              <a16:creationId xmlns:a16="http://schemas.microsoft.com/office/drawing/2014/main" id="{00000000-0008-0000-0F00-00000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600575"/>
          <a:ext cx="5514975" cy="5715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eer.berkeley.edu/ngawest2/databases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60AC9"/>
  </sheetPr>
  <dimension ref="A1:AK168"/>
  <sheetViews>
    <sheetView tabSelected="1" topLeftCell="A18" zoomScale="93" zoomScaleNormal="93" zoomScalePageLayoutView="150" workbookViewId="0">
      <selection activeCell="B27" sqref="B27"/>
    </sheetView>
  </sheetViews>
  <sheetFormatPr defaultColWidth="0" defaultRowHeight="14.25" zeroHeight="1" x14ac:dyDescent="0.45"/>
  <cols>
    <col min="1" max="1" width="1.3984375" customWidth="1"/>
    <col min="2" max="2" width="18.73046875" style="49" customWidth="1"/>
    <col min="3" max="3" width="29" customWidth="1"/>
    <col min="4" max="4" width="13" customWidth="1"/>
    <col min="5" max="5" width="10.73046875" customWidth="1"/>
    <col min="6" max="6" width="10.265625" bestFit="1" customWidth="1"/>
    <col min="7" max="7" width="10.265625" customWidth="1"/>
    <col min="8" max="8" width="10" customWidth="1"/>
    <col min="9" max="9" width="9.73046875" customWidth="1"/>
    <col min="10" max="10" width="10.1328125" customWidth="1"/>
    <col min="11" max="11" width="10.3984375" customWidth="1"/>
    <col min="12" max="12" width="10.1328125" customWidth="1"/>
    <col min="13" max="13" width="9.73046875" customWidth="1"/>
    <col min="14" max="14" width="11.86328125" customWidth="1"/>
    <col min="15" max="22" width="9.1328125" customWidth="1"/>
    <col min="23" max="23" width="1.3984375" customWidth="1"/>
    <col min="24" max="24" width="8.265625" hidden="1" customWidth="1"/>
    <col min="25" max="25" width="9.1328125" hidden="1" customWidth="1"/>
    <col min="26" max="26" width="10.86328125" hidden="1" customWidth="1"/>
    <col min="27" max="27" width="15.86328125" hidden="1" customWidth="1"/>
    <col min="28" max="28" width="12.1328125" hidden="1" customWidth="1"/>
    <col min="29" max="16384" width="9.1328125" hidden="1"/>
  </cols>
  <sheetData>
    <row r="1" spans="1:37" ht="22.5" customHeight="1" thickBot="1" x14ac:dyDescent="0.5">
      <c r="A1" s="334"/>
      <c r="B1" s="339"/>
      <c r="C1" s="334"/>
      <c r="D1" s="334"/>
      <c r="E1" s="334"/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</row>
    <row r="2" spans="1:37" ht="9" customHeight="1" x14ac:dyDescent="0.45">
      <c r="A2" s="334"/>
      <c r="B2" s="361"/>
      <c r="C2" s="362"/>
      <c r="D2" s="362"/>
      <c r="E2" s="362"/>
      <c r="F2" s="362"/>
      <c r="G2" s="362"/>
      <c r="H2" s="340" t="s">
        <v>276</v>
      </c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34"/>
    </row>
    <row r="3" spans="1:37" s="111" customFormat="1" ht="27" customHeight="1" x14ac:dyDescent="0.45">
      <c r="A3" s="341"/>
      <c r="B3" s="367" t="s">
        <v>275</v>
      </c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41"/>
    </row>
    <row r="4" spans="1:37" s="111" customFormat="1" ht="3.75" customHeight="1" x14ac:dyDescent="0.45">
      <c r="A4" s="341"/>
      <c r="B4" s="369" t="s">
        <v>276</v>
      </c>
      <c r="C4" s="370"/>
      <c r="D4" s="370"/>
      <c r="E4" s="370"/>
      <c r="F4" s="370"/>
      <c r="G4" s="370"/>
      <c r="H4" s="370"/>
      <c r="I4" s="370"/>
      <c r="J4" s="370"/>
      <c r="K4" s="370"/>
      <c r="L4" s="370"/>
      <c r="M4" s="370"/>
      <c r="N4" s="370"/>
      <c r="O4" s="370"/>
      <c r="P4" s="370"/>
      <c r="Q4" s="370"/>
      <c r="R4" s="370"/>
      <c r="S4" s="370"/>
      <c r="T4" s="370"/>
      <c r="U4" s="370"/>
      <c r="V4" s="370"/>
      <c r="W4" s="341"/>
    </row>
    <row r="5" spans="1:37" s="111" customFormat="1" ht="6.75" customHeight="1" x14ac:dyDescent="0.65">
      <c r="A5" s="341"/>
      <c r="B5" s="326"/>
      <c r="C5" s="327"/>
      <c r="D5" s="327"/>
      <c r="E5" s="327"/>
      <c r="F5" s="327"/>
      <c r="G5" s="327"/>
      <c r="H5" s="327"/>
      <c r="I5" s="327"/>
      <c r="J5" s="327"/>
      <c r="K5" s="327"/>
      <c r="L5" s="327"/>
      <c r="M5" s="327"/>
      <c r="N5" s="327"/>
      <c r="O5" s="327"/>
      <c r="P5" s="327"/>
      <c r="Q5" s="327"/>
      <c r="R5" s="327"/>
      <c r="S5" s="327"/>
      <c r="T5" s="327"/>
      <c r="U5" s="327"/>
      <c r="V5" s="327"/>
      <c r="W5" s="341"/>
    </row>
    <row r="6" spans="1:37" s="111" customFormat="1" ht="19.5" customHeight="1" x14ac:dyDescent="0.55000000000000004">
      <c r="A6" s="341"/>
      <c r="B6" s="372" t="s">
        <v>590</v>
      </c>
      <c r="C6" s="373"/>
      <c r="D6" s="373"/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3"/>
      <c r="Q6" s="373"/>
      <c r="R6" s="373"/>
      <c r="S6" s="373"/>
      <c r="T6" s="373"/>
      <c r="U6" s="373"/>
      <c r="V6" s="373"/>
      <c r="W6" s="341"/>
    </row>
    <row r="7" spans="1:37" s="111" customFormat="1" ht="19.5" customHeight="1" x14ac:dyDescent="0.45">
      <c r="A7" s="341"/>
      <c r="B7" s="374" t="s">
        <v>805</v>
      </c>
      <c r="C7" s="375"/>
      <c r="D7" s="375"/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41"/>
    </row>
    <row r="8" spans="1:37" s="111" customFormat="1" ht="19.5" customHeight="1" thickBot="1" x14ac:dyDescent="0.5">
      <c r="A8" s="341"/>
      <c r="B8" s="376" t="s">
        <v>798</v>
      </c>
      <c r="C8" s="377"/>
      <c r="D8" s="377"/>
      <c r="E8" s="377"/>
      <c r="F8" s="377"/>
      <c r="G8" s="377"/>
      <c r="H8" s="377"/>
      <c r="I8" s="377"/>
      <c r="J8" s="377"/>
      <c r="K8" s="377"/>
      <c r="L8" s="377"/>
      <c r="M8" s="377"/>
      <c r="N8" s="377"/>
      <c r="O8" s="377"/>
      <c r="P8" s="377"/>
      <c r="Q8" s="377"/>
      <c r="R8" s="377"/>
      <c r="S8" s="377"/>
      <c r="T8" s="377"/>
      <c r="U8" s="377"/>
      <c r="V8" s="377"/>
      <c r="W8" s="341"/>
    </row>
    <row r="9" spans="1:37" s="297" customFormat="1" ht="18" customHeight="1" x14ac:dyDescent="0.45">
      <c r="A9" s="342"/>
      <c r="B9" s="343" t="s">
        <v>606</v>
      </c>
      <c r="C9" s="344"/>
      <c r="D9" s="345"/>
      <c r="E9" s="345"/>
      <c r="F9" s="345"/>
      <c r="G9" s="345"/>
      <c r="H9" s="345"/>
      <c r="I9" s="345"/>
      <c r="J9" s="345"/>
      <c r="K9" s="345"/>
      <c r="L9" s="345"/>
      <c r="M9" s="345"/>
      <c r="N9" s="345"/>
      <c r="O9" s="345"/>
      <c r="P9" s="345"/>
      <c r="Q9" s="346"/>
      <c r="R9" s="346"/>
      <c r="S9" s="346"/>
      <c r="T9" s="346"/>
      <c r="U9" s="346"/>
      <c r="V9" s="346"/>
      <c r="W9" s="342"/>
    </row>
    <row r="10" spans="1:37" ht="28.9" thickBot="1" x14ac:dyDescent="0.5">
      <c r="A10" s="334"/>
      <c r="B10"/>
      <c r="H10" s="318"/>
      <c r="I10" s="328" t="s">
        <v>415</v>
      </c>
      <c r="J10" s="329" t="s">
        <v>421</v>
      </c>
      <c r="K10" s="330" t="s">
        <v>416</v>
      </c>
      <c r="L10" s="331" t="s">
        <v>417</v>
      </c>
      <c r="M10" s="332" t="s">
        <v>418</v>
      </c>
      <c r="N10" s="333" t="s">
        <v>422</v>
      </c>
      <c r="W10" s="334"/>
      <c r="AH10" s="51"/>
      <c r="AI10" s="51"/>
      <c r="AJ10" s="51"/>
      <c r="AK10" s="51"/>
    </row>
    <row r="11" spans="1:37" ht="14.65" thickBot="1" x14ac:dyDescent="0.5">
      <c r="A11" s="334"/>
      <c r="B11" s="177" t="s">
        <v>589</v>
      </c>
      <c r="C11" s="204" t="s">
        <v>566</v>
      </c>
      <c r="D11" s="242" t="str">
        <f>IF(C11="Arithmetic","Weighted average of the spectral values","Weighted average of the natural logarithm of the spectral values")</f>
        <v>Weighted average of the natural logarithm of the spectral values</v>
      </c>
      <c r="E11" s="49"/>
      <c r="H11" s="318"/>
      <c r="W11" s="334"/>
      <c r="AH11" s="51"/>
      <c r="AI11" s="51"/>
      <c r="AJ11" s="51"/>
      <c r="AK11" s="51"/>
    </row>
    <row r="12" spans="1:37" ht="16.149999999999999" thickBot="1" x14ac:dyDescent="0.5">
      <c r="A12" s="334"/>
      <c r="B12" s="70"/>
      <c r="C12" s="1"/>
      <c r="D12" s="1"/>
      <c r="E12" s="1"/>
      <c r="F12" s="1"/>
      <c r="G12" s="1"/>
      <c r="H12" s="1"/>
      <c r="I12" s="299" t="s">
        <v>294</v>
      </c>
      <c r="J12" s="371" t="s">
        <v>492</v>
      </c>
      <c r="K12" s="371"/>
      <c r="L12" s="371"/>
      <c r="M12" s="371"/>
      <c r="N12" s="371"/>
      <c r="O12" s="371"/>
      <c r="P12" s="50"/>
      <c r="Q12" s="50"/>
      <c r="R12" s="50"/>
      <c r="S12" s="50"/>
      <c r="T12" s="50"/>
      <c r="U12" s="50"/>
      <c r="V12" s="50"/>
      <c r="W12" s="334"/>
      <c r="AH12" s="51"/>
      <c r="AI12" s="51"/>
      <c r="AJ12" s="51"/>
      <c r="AK12" s="51"/>
    </row>
    <row r="13" spans="1:37" ht="16.899999999999999" x14ac:dyDescent="0.5">
      <c r="A13" s="334"/>
      <c r="B13" s="181" t="s">
        <v>419</v>
      </c>
      <c r="C13" s="182" t="s">
        <v>294</v>
      </c>
      <c r="D13" s="182" t="s">
        <v>295</v>
      </c>
      <c r="E13" s="182" t="s">
        <v>296</v>
      </c>
      <c r="F13" s="182" t="s">
        <v>297</v>
      </c>
      <c r="G13" s="264" t="s">
        <v>298</v>
      </c>
      <c r="H13" s="301" t="str">
        <f>IF(AND(B39&lt;450,G14&gt;0,SUM(C14:F14)&gt;0),"I08 Model cannot be used for Vs30 less than 450 m/sec. Results are obtained assuming 0 weight for I08 and normalizing the weights of the rest of the models",IF(AND(B39&lt;450,G14&gt;0),"I08 Model cannot be used for Vs30 less than 450 m/sec. ",""))</f>
        <v/>
      </c>
      <c r="I13" s="302" t="s">
        <v>295</v>
      </c>
      <c r="J13" s="371" t="s">
        <v>493</v>
      </c>
      <c r="K13" s="371"/>
      <c r="L13" s="371"/>
      <c r="M13" s="371"/>
      <c r="N13" s="371"/>
      <c r="O13" s="371"/>
      <c r="P13" s="50"/>
      <c r="Q13" s="50"/>
      <c r="R13" s="50"/>
      <c r="S13" s="50"/>
      <c r="T13" s="50"/>
      <c r="U13" s="50"/>
      <c r="V13" s="50"/>
      <c r="W13" s="334"/>
      <c r="AH13" s="38"/>
      <c r="AI13" s="38"/>
      <c r="AJ13" s="38"/>
      <c r="AK13" s="38"/>
    </row>
    <row r="14" spans="1:37" ht="16.149999999999999" thickBot="1" x14ac:dyDescent="0.5">
      <c r="A14" s="334"/>
      <c r="B14" s="185" t="s">
        <v>420</v>
      </c>
      <c r="C14" s="202">
        <v>0.25</v>
      </c>
      <c r="D14" s="202">
        <v>0.25</v>
      </c>
      <c r="E14" s="202">
        <v>0.25</v>
      </c>
      <c r="F14" s="202">
        <v>0.25</v>
      </c>
      <c r="G14" s="265">
        <v>0</v>
      </c>
      <c r="I14" s="299" t="s">
        <v>296</v>
      </c>
      <c r="J14" s="371" t="s">
        <v>491</v>
      </c>
      <c r="K14" s="371"/>
      <c r="L14" s="371"/>
      <c r="M14" s="371"/>
      <c r="N14" s="371"/>
      <c r="O14" s="371"/>
      <c r="P14" s="50"/>
      <c r="Q14" s="50"/>
      <c r="R14" s="50"/>
      <c r="S14" s="50"/>
      <c r="T14" s="50"/>
      <c r="U14" s="50"/>
      <c r="V14" s="50"/>
      <c r="W14" s="334"/>
      <c r="AH14" s="38"/>
      <c r="AI14" s="38"/>
      <c r="AJ14" s="38"/>
      <c r="AK14" s="38"/>
    </row>
    <row r="15" spans="1:37" ht="16.149999999999999" thickBot="1" x14ac:dyDescent="0.5">
      <c r="A15" s="334"/>
      <c r="B15" s="347"/>
      <c r="C15" s="276"/>
      <c r="D15" s="276"/>
      <c r="E15" s="276"/>
      <c r="F15" s="276"/>
      <c r="G15" s="276"/>
      <c r="H15" s="46"/>
      <c r="I15" s="299" t="s">
        <v>297</v>
      </c>
      <c r="J15" s="371" t="s">
        <v>490</v>
      </c>
      <c r="K15" s="371"/>
      <c r="L15" s="371"/>
      <c r="M15" s="371"/>
      <c r="N15" s="371"/>
      <c r="O15" s="371"/>
      <c r="P15" s="50"/>
      <c r="Q15" s="50"/>
      <c r="R15" s="50"/>
      <c r="S15" s="50"/>
      <c r="T15" s="50"/>
      <c r="U15" s="50"/>
      <c r="V15" s="50"/>
      <c r="W15" s="334"/>
    </row>
    <row r="16" spans="1:37" ht="18" customHeight="1" thickBot="1" x14ac:dyDescent="0.5">
      <c r="A16" s="334"/>
      <c r="B16" s="177" t="s">
        <v>395</v>
      </c>
      <c r="C16" s="266">
        <v>1</v>
      </c>
      <c r="D16" s="35"/>
      <c r="E16" s="385" t="str">
        <f>IF(AND(SUM($C$14:$G$14)&gt;0.99,SUM($C$14:$G$14)&lt;1.01)," ","WARNING: Weights should sum up to 1")</f>
        <v xml:space="preserve"> </v>
      </c>
      <c r="F16" s="385"/>
      <c r="G16" s="385"/>
      <c r="H16" s="385"/>
      <c r="I16" s="299" t="s">
        <v>298</v>
      </c>
      <c r="J16" s="371" t="s">
        <v>489</v>
      </c>
      <c r="K16" s="371"/>
      <c r="L16" s="371"/>
      <c r="M16" s="371"/>
      <c r="N16" s="371"/>
      <c r="O16" s="371"/>
      <c r="P16" s="50"/>
      <c r="Q16" s="50"/>
      <c r="R16" s="50"/>
      <c r="S16" s="50"/>
      <c r="T16" s="50"/>
      <c r="U16" s="50"/>
      <c r="V16" s="50"/>
      <c r="W16" s="334"/>
    </row>
    <row r="17" spans="1:29" ht="15.75" thickBot="1" x14ac:dyDescent="0.5">
      <c r="A17" s="334"/>
      <c r="B17" s="177" t="s">
        <v>335</v>
      </c>
      <c r="C17" s="203">
        <v>5</v>
      </c>
      <c r="D17" s="242" t="str">
        <f>"Modification factors are calculated in Sheet DSF"</f>
        <v>Modification factors are calculated in Sheet DSF</v>
      </c>
      <c r="F17" s="303"/>
      <c r="G17" s="46"/>
      <c r="H17" s="46"/>
      <c r="O17" s="22"/>
      <c r="P17" s="8"/>
      <c r="Q17" s="8"/>
      <c r="R17" s="8"/>
      <c r="S17" s="8"/>
      <c r="T17" s="8"/>
      <c r="U17" s="8"/>
      <c r="V17" s="8"/>
      <c r="W17" s="334"/>
    </row>
    <row r="18" spans="1:29" ht="18.75" x14ac:dyDescent="0.45">
      <c r="A18" s="334"/>
      <c r="B18" s="319"/>
      <c r="C18" s="276"/>
      <c r="D18" s="276"/>
      <c r="E18" s="276"/>
      <c r="H18" s="276"/>
      <c r="I18" s="276"/>
      <c r="J18" s="46"/>
      <c r="K18" s="277" t="str">
        <f>IF($AB$52&gt;0,"WARNING: You entered a value Out of Range of the GMPE","")</f>
        <v/>
      </c>
      <c r="P18" s="8"/>
      <c r="Q18" s="8"/>
      <c r="R18" s="8"/>
      <c r="S18" s="8"/>
      <c r="T18" s="8"/>
      <c r="U18" s="8"/>
      <c r="V18" s="8"/>
      <c r="W18" s="334"/>
    </row>
    <row r="19" spans="1:29" ht="17.25" customHeight="1" thickBot="1" x14ac:dyDescent="0.5">
      <c r="A19" s="334"/>
      <c r="B19" s="319"/>
      <c r="C19" s="276"/>
      <c r="D19" s="276"/>
      <c r="E19" s="276"/>
      <c r="F19" s="276"/>
      <c r="G19" s="276"/>
      <c r="H19" s="46"/>
      <c r="I19" s="277"/>
      <c r="O19" s="22"/>
      <c r="P19" s="8"/>
      <c r="Q19" s="8"/>
      <c r="R19" s="8"/>
      <c r="S19" s="8"/>
      <c r="T19" s="8"/>
      <c r="U19" s="8"/>
      <c r="V19" s="8"/>
      <c r="W19" s="334"/>
    </row>
    <row r="20" spans="1:29" ht="18" thickBot="1" x14ac:dyDescent="0.5">
      <c r="A20" s="334"/>
      <c r="D20" s="365" t="s">
        <v>605</v>
      </c>
      <c r="E20" s="366"/>
      <c r="F20" s="366"/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34"/>
    </row>
    <row r="21" spans="1:29" ht="41.25" customHeight="1" thickBot="1" x14ac:dyDescent="0.5">
      <c r="A21" s="334"/>
      <c r="B21" s="317" t="s">
        <v>383</v>
      </c>
      <c r="C21" s="317" t="s">
        <v>382</v>
      </c>
      <c r="D21" s="4"/>
      <c r="F21" s="379" t="s">
        <v>588</v>
      </c>
      <c r="G21" s="380"/>
      <c r="H21" s="380"/>
      <c r="I21" s="381"/>
      <c r="J21" s="379" t="str">
        <f>"User defined: "&amp;C17&amp;"% Damping"</f>
        <v>User defined: 5% Damping</v>
      </c>
      <c r="K21" s="380"/>
      <c r="L21" s="380"/>
      <c r="M21" s="381"/>
      <c r="N21" s="4"/>
      <c r="O21" s="4"/>
      <c r="P21" s="29"/>
      <c r="Q21" s="29"/>
      <c r="S21" s="29"/>
      <c r="T21" s="29"/>
      <c r="U21" s="29"/>
      <c r="V21" s="29"/>
      <c r="W21" s="334"/>
    </row>
    <row r="22" spans="1:29" ht="57" x14ac:dyDescent="0.45">
      <c r="A22" s="334"/>
      <c r="D22" s="291" t="s">
        <v>20</v>
      </c>
      <c r="E22" s="292" t="s">
        <v>263</v>
      </c>
      <c r="F22" s="293" t="str">
        <f>"PSa Median for 5% damping"</f>
        <v>PSa Median for 5% damping</v>
      </c>
      <c r="G22" s="293" t="str">
        <f>"PSa Median + " &amp;$C$16 &amp; ".σ for 5% damping"</f>
        <v>PSa Median + 1.σ for 5% damping</v>
      </c>
      <c r="H22" s="293" t="str">
        <f>"PSa Median - " &amp;$C$16 &amp; ".σ for 5% damping"</f>
        <v>PSa Median - 1.σ for 5% damping</v>
      </c>
      <c r="I22" s="293" t="s">
        <v>567</v>
      </c>
      <c r="J22" s="294" t="str">
        <f>"PSa Median for " &amp; $C$17 &amp; "% damping"</f>
        <v>PSa Median for 5% damping</v>
      </c>
      <c r="K22" s="294" t="str">
        <f>"PSa Median + "&amp;$C$16&amp;".σ for "&amp;$C$17 &amp;" % damping"</f>
        <v>PSa Median + 1.σ for 5 % damping</v>
      </c>
      <c r="L22" s="294" t="str">
        <f>"PSa Median - "&amp;$C$16&amp;".σ for "&amp;$C$17 &amp;" % damping"</f>
        <v>PSa Median - 1.σ for 5 % damping</v>
      </c>
      <c r="M22" s="293" t="str">
        <f>"Sd Median for "&amp;$C$17 &amp;" % damping"</f>
        <v>Sd Median for 5 % damping</v>
      </c>
      <c r="N22" s="5"/>
      <c r="O22" s="5"/>
      <c r="P22" s="29"/>
      <c r="Q22" s="29"/>
      <c r="R22" s="29"/>
      <c r="S22" s="29"/>
      <c r="T22" s="29"/>
      <c r="U22" s="29"/>
      <c r="V22" s="29"/>
      <c r="W22" s="334"/>
      <c r="Y22" s="304" t="s">
        <v>380</v>
      </c>
      <c r="Z22" s="305" t="s">
        <v>363</v>
      </c>
      <c r="AA22" s="305" t="s">
        <v>291</v>
      </c>
      <c r="AB22" s="306" t="s">
        <v>364</v>
      </c>
    </row>
    <row r="23" spans="1:29" ht="18" x14ac:dyDescent="0.45">
      <c r="A23" s="334"/>
      <c r="B23" s="267" t="s">
        <v>580</v>
      </c>
      <c r="C23" s="126"/>
      <c r="D23" s="364" t="s">
        <v>423</v>
      </c>
      <c r="E23" s="291">
        <v>0.01</v>
      </c>
      <c r="F23" s="96">
        <f>IF($B$104=0,IF($AB$52=0,SUM($C$14/SUM($C$14:$G$14)*'ASK14'!$E6,$D$14/SUM($C$14:$G$14)*BSSA14!$S6,$E$14/SUM($C$14:$G$14)*'CB14'!$Y6,$F$14/SUM($C$14:$G$14)*'CY14'!$U6,$G$14/SUM($C$14:$G$14)*'I14'!$L6),SUM($C$14/SUM($C$14:$G$14)*'ASK14'!$E6,$D$14/SUM($C$14:$G$14)*BSSA14!$S6,$E$14/SUM($C$14:$G$14)*'CB14'!$Y6,$F$14/SUM($C$14:$G$14)*'CY14'!$U6,$G$14/SUM($C$14:$G$14)*'I14'!$L6)),IF($B$104=1,IF($AB$52=0,EXP(SUM($C$14/SUM($C$14:$G$14)*LN('ASK14'!$E6),$D$14/SUM($C$14:$G$14)*LN(BSSA14!$S6),$E$14/SUM($C$14:$G$14)*LN('CB14'!$Y6),$F$14/SUM($C$14:$G$14)*LN('CY14'!$U6),$G$14/SUM($C$14:$G$14)*LN('I14'!$L6))),EXP(SUM($C$14/SUM($C$14:$G$14)*LN('ASK14'!$E6),$D$14/SUM($C$14:$G$14)*LN(BSSA14!$S6),$E$14/SUM($C$14:$G$14)*LN('CB14'!$Y6),$F$14/SUM($C$14:$G$14)*LN('CY14'!$U6),$G$14/SUM($C$14:$G$14)*LN('I14'!$L6))))))</f>
        <v>0.34199358881954489</v>
      </c>
      <c r="G23" s="96">
        <f>IF($B$104=0,IF($AB$52=0,SUM($C$14/SUM($C$14:$G$14)*('ASK14'!$E6*EXP(Main!$C$16*'ASK14'!$F6)),$D$14/SUM($C$14:$G$14)*(BSSA14!$S6*EXP(Main!$C$16*BSSA14!$T6)),$E$14/SUM($C$14:$G$14)*('CB14'!$Y6*EXP(Main!$C$16*'CB14'!$Z6)),$F$14/SUM($C$14:$G$14)*('CY14'!$U6*EXP(Main!$C$16*'CY14'!$V6)),$G$14/SUM($C$14:$G$14)*('I14'!$L6*EXP(Main!$C$16*'I14'!$M6))),SUM($C$14/SUM($C$14:$G$14)*('ASK14'!$E6*EXP(Main!$C$16*'ASK14'!$F6)),$D$14/SUM($C$14:$G$14)*(BSSA14!$S6*EXP(Main!$C$16*BSSA14!$T6)),$E$14/SUM($C$14:$G$14)*('CB14'!$Y6*EXP(Main!$C$16*'CB14'!$Z6)),$F$14/SUM($C$14:$G$14)*('CY14'!$U6*EXP(Main!$C$16*'CY14'!$V6)),$G$14/SUM($C$14:$G$14)*('I14'!$L6*EXP(Main!$C$16*'I14'!$M6)))),IF($B$104=1,IF($AB$52=0,EXP(SUM($C$14/SUM($C$14:$G$14)*(LN('ASK14'!$E6)+($C$16*'ASK14'!$F6)),$D$14/SUM($C$14:$G$14)*(LN(BSSA14!$S6)+($C$16*BSSA14!$T6)),$E$14/SUM($C$14:$G$14)*(LN('CB14'!$Y6)+($C$16*'CB14'!$Z6)),$F$14/SUM($C$14:$G$14)*(LN('CY14'!$U6)+($C$16*'CY14'!$V6)),$G$14/SUM($C$14:$G$14)*(LN('I14'!$L6)+($C$16*'I14'!$M6)))),EXP(SUM($C$14/SUM($C$14:$G$14)*(LN('ASK14'!$E6)+($C$16*'ASK14'!$F6)),$D$14/SUM($C$14:$G$14)*(LN(BSSA14!$S6)+($C$16*BSSA14!$T6)),$E$14/SUM($C$14:$G$14)*(LN('CB14'!$Y6)+($C$16*'CB14'!$Z6)),$F$14/SUM($C$14:$G$14)*(LN('CY14'!$U6)+($C$16*'CY14'!$V6)),$G$14/SUM($C$14:$G$14)*(LN('I14'!$L6)+($C$16*'I14'!$M6)))))))</f>
        <v>0.5962315759675435</v>
      </c>
      <c r="H23" s="96">
        <f>IF($B$104=0,IF($AB$52=0,SUM($C$14/SUM($C$14:$G$14)*('ASK14'!$E6*EXP(-Main!$C$16*'ASK14'!$F6)),$D$14/SUM($C$14:$G$14)*(BSSA14!$S6*EXP(-Main!$C$16*BSSA14!$T6)),$E$14/SUM($C$14:$G$14)*('CB14'!$Y6*EXP(-Main!$C$16*'CB14'!$Z6)),$F$14/SUM($C$14:$G$14)*('CY14'!$U6*EXP(-Main!$C$16*'CY14'!$V6)),$G$14/SUM($C$14:$G$14)*('I14'!$L6*EXP(-Main!$C$16*'I14'!$M6))),SUM($C$14/SUM($C$14:$G$14)*('ASK14'!$E6*EXP(-Main!$C$16*'ASK14'!$F6)),$D$14/SUM($C$14:$G$14)*(BSSA14!$S6*EXP(-Main!$C$16*BSSA14!$T6)),$E$14/SUM($C$14:$G$14)*('CB14'!$Y6*EXP(-Main!$C$16*'CB14'!$Z6)),$F$14/SUM($C$14:$G$14)*('CY14'!$U6*EXP(-Main!$C$16*'CY14'!$V6)),$G$14/SUM($C$14:$G$14)*('I14'!$L6*EXP(-Main!$C$16*'I14'!$M6)))),IF($B$104=1,IF($AB$52=0,EXP(SUM($C$14/SUM($C$14:$G$14)*(LN('ASK14'!$E6)-($C$16*'ASK14'!$F6)),$D$14/SUM($C$14:$G$14)*(LN(BSSA14!$S6)-($C$16*BSSA14!$T6)),$E$14/SUM($C$14:$G$14)*(LN('CB14'!$Y6)-($C$16*'CB14'!$Z6)),$F$14/SUM($C$14:$G$14)*(LN('CY14'!$U6)-($C$16*'CY14'!$V6)),$G$14/SUM($C$14:$G$14)*(LN('I14'!$L6)-($C$16*'I14'!$M6)))),EXP(SUM($C$14/SUM($C$14:$G$14)*(LN('ASK14'!$E6)-($C$16*'ASK14'!$F6)),$D$14/SUM($C$14:$G$14)*(LN(BSSA14!$S6)-($C$16*BSSA14!$T6)),$E$14/SUM($C$14:$G$14)*(LN('CB14'!$Y6)-($C$16*'CB14'!$Z6)),$F$14/SUM($C$14:$G$14)*(LN('CY14'!$U6)-($C$16*'CY14'!$V6)),$G$14/SUM($C$14:$G$14)*(LN('I14'!$L6)-($C$16*'I14'!$M6)))))))</f>
        <v>0.19616474455227229</v>
      </c>
      <c r="I23" s="96">
        <f>($F23*980)/(2*PI()/$E23)^2</f>
        <v>8.4895428282353799E-4</v>
      </c>
      <c r="J23" s="96">
        <f>DSF!$S22*Main!F23</f>
        <v>0.34199358881954489</v>
      </c>
      <c r="K23" s="96">
        <f>DSF!$S22*Main!G23</f>
        <v>0.5962315759675435</v>
      </c>
      <c r="L23" s="96">
        <f>DSF!$S22*Main!H23</f>
        <v>0.19616474455227229</v>
      </c>
      <c r="M23" s="96">
        <f>DSF!$S22*Main!I23</f>
        <v>8.4895428282353799E-4</v>
      </c>
      <c r="N23" s="29"/>
      <c r="O23" s="29"/>
      <c r="P23" s="29"/>
      <c r="Q23" s="29"/>
      <c r="R23" s="29"/>
      <c r="S23" s="29"/>
      <c r="T23" s="29"/>
      <c r="U23" s="29"/>
      <c r="V23" s="29"/>
      <c r="W23" s="334"/>
      <c r="Y23" s="307" t="s">
        <v>294</v>
      </c>
      <c r="Z23" s="207" t="s">
        <v>358</v>
      </c>
      <c r="AA23" s="29" t="s">
        <v>370</v>
      </c>
      <c r="AB23" s="260">
        <f>IF(AND($C$14&lt;&gt;0,$C$24="! Not Applicable !"),1,0)</f>
        <v>0</v>
      </c>
      <c r="AC23">
        <f>SUM(AB23:AB25)</f>
        <v>0</v>
      </c>
    </row>
    <row r="24" spans="1:29" ht="15" customHeight="1" x14ac:dyDescent="0.45">
      <c r="A24" s="334"/>
      <c r="B24" s="196">
        <v>8.1</v>
      </c>
      <c r="C24" s="278" t="str">
        <f>IF($C$14&lt;&gt;0,'ASK14'!$B$6,IF($D$14&lt;&gt;0,BSSA14!$B$6,IF($E$14&lt;&gt;0,'CB14'!$B$6,IF($F$14&lt;&gt;0,'CY14'!$B$6,IF($G$14&lt;&gt;0,'I14'!$B$6,"")))))</f>
        <v/>
      </c>
      <c r="D24" s="364"/>
      <c r="E24" s="291">
        <v>0.02</v>
      </c>
      <c r="F24" s="96">
        <f>IF($B$104=0,IF($AB$52=0,SUM($C$14/SUM($C$14:$G$14)*'ASK14'!$E7,$D$14/SUM($C$14:$G$14)*BSSA14!$S7,$E$14/SUM($C$14:$G$14)*'CB14'!$Y7,$F$14/SUM($C$14:$G$14)*'CY14'!$U7,$G$14/SUM($C$14:$G$14)*'I14'!$L7),SUM($C$14/SUM($C$14:$G$14)*'ASK14'!$E7,$D$14/SUM($C$14:$G$14)*BSSA14!$S7,$E$14/SUM($C$14:$G$14)*'CB14'!$Y7,$F$14/SUM($C$14:$G$14)*'CY14'!$U7,$G$14/SUM($C$14:$G$14)*'I14'!$L7)),IF($B$104=1,IF($AB$52=0,EXP(SUM($C$14/SUM($C$14:$G$14)*LN('ASK14'!$E7),$D$14/SUM($C$14:$G$14)*LN(BSSA14!$S7),$E$14/SUM($C$14:$G$14)*LN('CB14'!$Y7),$F$14/SUM($C$14:$G$14)*LN('CY14'!$U7),$G$14/SUM($C$14:$G$14)*LN('I14'!$L7))),EXP(SUM($C$14/SUM($C$14:$G$14)*LN('ASK14'!$E7),$D$14/SUM($C$14:$G$14)*LN(BSSA14!$S7),$E$14/SUM($C$14:$G$14)*LN('CB14'!$Y7),$F$14/SUM($C$14:$G$14)*LN('CY14'!$U7),$G$14/SUM($C$14:$G$14)*LN('I14'!$L7))))))</f>
        <v>0.34273230189624165</v>
      </c>
      <c r="G24" s="96">
        <f>IF($B$104=0,IF($AB$52=0,SUM($C$14/SUM($C$14:$G$14)*('ASK14'!$E7*EXP(Main!$C$16*'ASK14'!$F7)),$D$14/SUM($C$14:$G$14)*(BSSA14!$S7*EXP(Main!$C$16*BSSA14!$T7)),$E$14/SUM($C$14:$G$14)*('CB14'!$Y7*EXP(Main!$C$16*'CB14'!$Z7)),$F$14/SUM($C$14:$G$14)*('CY14'!$U7*EXP(Main!$C$16*'CY14'!$V7)),$G$14/SUM($C$14:$G$14)*('I14'!$L7*EXP(Main!$C$16*'I14'!$M7))),SUM($C$14/SUM($C$14:$G$14)*('ASK14'!$E7*EXP(Main!$C$16*'ASK14'!$F7)),$D$14/SUM($C$14:$G$14)*(BSSA14!$S7*EXP(Main!$C$16*BSSA14!$T7)),$E$14/SUM($C$14:$G$14)*('CB14'!$Y7*EXP(Main!$C$16*'CB14'!$Z7)),$F$14/SUM($C$14:$G$14)*('CY14'!$U7*EXP(Main!$C$16*'CY14'!$V7)),$G$14/SUM($C$14:$G$14)*('I14'!$L7*EXP(Main!$C$16*'I14'!$M7)))),IF($B$104=1,IF($AB$52=0,EXP(SUM($C$14/SUM($C$14:$G$14)*(LN('ASK14'!$E7)+($C$16*'ASK14'!$F7)),$D$14/SUM($C$14:$G$14)*(LN(BSSA14!$S7)+($C$16*BSSA14!$T7)),$E$14/SUM($C$14:$G$14)*(LN('CB14'!$Y7)+($C$16*'CB14'!$Z7)),$F$14/SUM($C$14:$G$14)*(LN('CY14'!$U7)+($C$16*'CY14'!$V7)),$G$14/SUM($C$14:$G$14)*(LN('I14'!$L7)+($C$16*'I14'!$M7)))),EXP(SUM($C$14/SUM($C$14:$G$14)*(LN('ASK14'!$E7)+($C$16*'ASK14'!$F7)),$D$14/SUM($C$14:$G$14)*(LN(BSSA14!$S7)+($C$16*BSSA14!$T7)),$E$14/SUM($C$14:$G$14)*(LN('CB14'!$Y7)+($C$16*'CB14'!$Z7)),$F$14/SUM($C$14:$G$14)*(LN('CY14'!$U7)+($C$16*'CY14'!$V7)),$G$14/SUM($C$14:$G$14)*(LN('I14'!$L7)+($C$16*'I14'!$M7)))))))</f>
        <v>0.598089635237952</v>
      </c>
      <c r="H24" s="96">
        <f>IF($B$104=0,IF($AB$52=0,SUM($C$14/SUM($C$14:$G$14)*('ASK14'!$E7*EXP(-Main!$C$16*'ASK14'!$F7)),$D$14/SUM($C$14:$G$14)*(BSSA14!$S7*EXP(-Main!$C$16*BSSA14!$T7)),$E$14/SUM($C$14:$G$14)*('CB14'!$Y7*EXP(-Main!$C$16*'CB14'!$Z7)),$F$14/SUM($C$14:$G$14)*('CY14'!$U7*EXP(-Main!$C$16*'CY14'!$V7)),$G$14/SUM($C$14:$G$14)*('I14'!$L7*EXP(-Main!$C$16*'I14'!$M7))),SUM($C$14/SUM($C$14:$G$14)*('ASK14'!$E7*EXP(-Main!$C$16*'ASK14'!$F7)),$D$14/SUM($C$14:$G$14)*(BSSA14!$S7*EXP(-Main!$C$16*BSSA14!$T7)),$E$14/SUM($C$14:$G$14)*('CB14'!$Y7*EXP(-Main!$C$16*'CB14'!$Z7)),$F$14/SUM($C$14:$G$14)*('CY14'!$U7*EXP(-Main!$C$16*'CY14'!$V7)),$G$14/SUM($C$14:$G$14)*('I14'!$L7*EXP(-Main!$C$16*'I14'!$M7)))),IF($B$104=1,IF($AB$52=0,EXP(SUM($C$14/SUM($C$14:$G$14)*(LN('ASK14'!$E7)-($C$16*'ASK14'!$F7)),$D$14/SUM($C$14:$G$14)*(LN(BSSA14!$S7)-($C$16*BSSA14!$T7)),$E$14/SUM($C$14:$G$14)*(LN('CB14'!$Y7)-($C$16*'CB14'!$Z7)),$F$14/SUM($C$14:$G$14)*(LN('CY14'!$U7)-($C$16*'CY14'!$V7)),$G$14/SUM($C$14:$G$14)*(LN('I14'!$L7)-($C$16*'I14'!$M7)))),EXP(SUM($C$14/SUM($C$14:$G$14)*(LN('ASK14'!$E7)-($C$16*'ASK14'!$F7)),$D$14/SUM($C$14:$G$14)*(LN(BSSA14!$S7)-($C$16*BSSA14!$T7)),$E$14/SUM($C$14:$G$14)*(LN('CB14'!$Y7)-($C$16*'CB14'!$Z7)),$F$14/SUM($C$14:$G$14)*(LN('CY14'!$U7)-($C$16*'CY14'!$V7)),$G$14/SUM($C$14:$G$14)*(LN('I14'!$L7)-($C$16*'I14'!$M7)))))))</f>
        <v>0.19640104733860259</v>
      </c>
      <c r="I24" s="96">
        <f t="shared" ref="I24:I43" si="0">($F24*980)/(2*PI()/$E24)^2</f>
        <v>3.4031521650578446E-3</v>
      </c>
      <c r="J24" s="96">
        <f>DSF!$S23*Main!F24</f>
        <v>0.34273230189624165</v>
      </c>
      <c r="K24" s="96">
        <f>DSF!$S23*Main!G24</f>
        <v>0.598089635237952</v>
      </c>
      <c r="L24" s="96">
        <f>DSF!$S23*Main!H24</f>
        <v>0.19640104733860259</v>
      </c>
      <c r="M24" s="96">
        <f>DSF!$S23*Main!I24</f>
        <v>3.4031521650578446E-3</v>
      </c>
      <c r="N24" s="29"/>
      <c r="O24" s="29"/>
      <c r="P24" s="29"/>
      <c r="Q24" s="29"/>
      <c r="R24" s="300" t="str">
        <f>"Pseudo Spectral Acceleration ("  &amp;$C$17 &amp; "% damping) (g)"</f>
        <v>Pseudo Spectral Acceleration (5% damping) (g)</v>
      </c>
      <c r="S24" s="29"/>
      <c r="T24" s="29"/>
      <c r="U24" s="29"/>
      <c r="V24" s="29"/>
      <c r="W24" s="334"/>
      <c r="Y24" s="111"/>
      <c r="Z24" s="308" t="s">
        <v>292</v>
      </c>
      <c r="AA24" s="29" t="s">
        <v>354</v>
      </c>
      <c r="AB24" s="260">
        <f>IF(AND($C$14&lt;&gt;0,$C$27="! Not Applicable !"),1,0)</f>
        <v>0</v>
      </c>
    </row>
    <row r="25" spans="1:29" x14ac:dyDescent="0.45">
      <c r="A25" s="334"/>
      <c r="B25" s="179"/>
      <c r="C25" s="278"/>
      <c r="D25" s="364"/>
      <c r="E25" s="291">
        <v>0.03</v>
      </c>
      <c r="F25" s="96">
        <f>IF($B$104=0,IF($AB$52=0,SUM($C$14/SUM($C$14:$G$14)*'ASK14'!$E8,$D$14/SUM($C$14:$G$14)*BSSA14!$S8,$E$14/SUM($C$14:$G$14)*'CB14'!$Y8,$F$14/SUM($C$14:$G$14)*'CY14'!$U8,$G$14/SUM($C$14:$G$14)*'I14'!$L8),SUM($C$14/SUM($C$14:$G$14)*'ASK14'!$E8,$D$14/SUM($C$14:$G$14)*BSSA14!$S8,$E$14/SUM($C$14:$G$14)*'CB14'!$Y8,$F$14/SUM($C$14:$G$14)*'CY14'!$U8,$G$14/SUM($C$14:$G$14)*'I14'!$L8)),IF($B$104=1,IF($AB$52=0,EXP(SUM($C$14/SUM($C$14:$G$14)*LN('ASK14'!$E8),$D$14/SUM($C$14:$G$14)*LN(BSSA14!$S8),$E$14/SUM($C$14:$G$14)*LN('CB14'!$Y8),$F$14/SUM($C$14:$G$14)*LN('CY14'!$U8),$G$14/SUM($C$14:$G$14)*LN('I14'!$L8))),EXP(SUM($C$14/SUM($C$14:$G$14)*LN('ASK14'!$E8),$D$14/SUM($C$14:$G$14)*LN(BSSA14!$S8),$E$14/SUM($C$14:$G$14)*LN('CB14'!$Y8),$F$14/SUM($C$14:$G$14)*LN('CY14'!$U8),$G$14/SUM($C$14:$G$14)*LN('I14'!$L8))))))</f>
        <v>0.35364797985022084</v>
      </c>
      <c r="G25" s="96">
        <f>IF($B$104=0,IF($AB$52=0,SUM($C$14/SUM($C$14:$G$14)*('ASK14'!$E8*EXP(Main!$C$16*'ASK14'!$F8)),$D$14/SUM($C$14:$G$14)*(BSSA14!$S8*EXP(Main!$C$16*BSSA14!$T8)),$E$14/SUM($C$14:$G$14)*('CB14'!$Y8*EXP(Main!$C$16*'CB14'!$Z8)),$F$14/SUM($C$14:$G$14)*('CY14'!$U8*EXP(Main!$C$16*'CY14'!$V8)),$G$14/SUM($C$14:$G$14)*('I14'!$L8*EXP(Main!$C$16*'I14'!$M8))),SUM($C$14/SUM($C$14:$G$14)*('ASK14'!$E8*EXP(Main!$C$16*'ASK14'!$F8)),$D$14/SUM($C$14:$G$14)*(BSSA14!$S8*EXP(Main!$C$16*BSSA14!$T8)),$E$14/SUM($C$14:$G$14)*('CB14'!$Y8*EXP(Main!$C$16*'CB14'!$Z8)),$F$14/SUM($C$14:$G$14)*('CY14'!$U8*EXP(Main!$C$16*'CY14'!$V8)),$G$14/SUM($C$14:$G$14)*('I14'!$L8*EXP(Main!$C$16*'I14'!$M8)))),IF($B$104=1,IF($AB$52=0,EXP(SUM($C$14/SUM($C$14:$G$14)*(LN('ASK14'!$E8)+($C$16*'ASK14'!$F8)),$D$14/SUM($C$14:$G$14)*(LN(BSSA14!$S8)+($C$16*BSSA14!$T8)),$E$14/SUM($C$14:$G$14)*(LN('CB14'!$Y8)+($C$16*'CB14'!$Z8)),$F$14/SUM($C$14:$G$14)*(LN('CY14'!$U8)+($C$16*'CY14'!$V8)),$G$14/SUM($C$14:$G$14)*(LN('I14'!$L8)+($C$16*'I14'!$M8)))),EXP(SUM($C$14/SUM($C$14:$G$14)*(LN('ASK14'!$E8)+($C$16*'ASK14'!$F8)),$D$14/SUM($C$14:$G$14)*(LN(BSSA14!$S8)+($C$16*BSSA14!$T8)),$E$14/SUM($C$14:$G$14)*(LN('CB14'!$Y8)+($C$16*'CB14'!$Z8)),$F$14/SUM($C$14:$G$14)*(LN('CY14'!$U8)+($C$16*'CY14'!$V8)),$G$14/SUM($C$14:$G$14)*(LN('I14'!$L8)+($C$16*'I14'!$M8)))))))</f>
        <v>0.62055234899014999</v>
      </c>
      <c r="H25" s="96">
        <f>IF($B$104=0,IF($AB$52=0,SUM($C$14/SUM($C$14:$G$14)*('ASK14'!$E8*EXP(-Main!$C$16*'ASK14'!$F8)),$D$14/SUM($C$14:$G$14)*(BSSA14!$S8*EXP(-Main!$C$16*BSSA14!$T8)),$E$14/SUM($C$14:$G$14)*('CB14'!$Y8*EXP(-Main!$C$16*'CB14'!$Z8)),$F$14/SUM($C$14:$G$14)*('CY14'!$U8*EXP(-Main!$C$16*'CY14'!$V8)),$G$14/SUM($C$14:$G$14)*('I14'!$L8*EXP(-Main!$C$16*'I14'!$M8))),SUM($C$14/SUM($C$14:$G$14)*('ASK14'!$E8*EXP(-Main!$C$16*'ASK14'!$F8)),$D$14/SUM($C$14:$G$14)*(BSSA14!$S8*EXP(-Main!$C$16*BSSA14!$T8)),$E$14/SUM($C$14:$G$14)*('CB14'!$Y8*EXP(-Main!$C$16*'CB14'!$Z8)),$F$14/SUM($C$14:$G$14)*('CY14'!$U8*EXP(-Main!$C$16*'CY14'!$V8)),$G$14/SUM($C$14:$G$14)*('I14'!$L8*EXP(-Main!$C$16*'I14'!$M8)))),IF($B$104=1,IF($AB$52=0,EXP(SUM($C$14/SUM($C$14:$G$14)*(LN('ASK14'!$E8)-($C$16*'ASK14'!$F8)),$D$14/SUM($C$14:$G$14)*(LN(BSSA14!$S8)-($C$16*BSSA14!$T8)),$E$14/SUM($C$14:$G$14)*(LN('CB14'!$Y8)-($C$16*'CB14'!$Z8)),$F$14/SUM($C$14:$G$14)*(LN('CY14'!$U8)-($C$16*'CY14'!$V8)),$G$14/SUM($C$14:$G$14)*(LN('I14'!$L8)-($C$16*'I14'!$M8)))),EXP(SUM($C$14/SUM($C$14:$G$14)*(LN('ASK14'!$E8)-($C$16*'ASK14'!$F8)),$D$14/SUM($C$14:$G$14)*(LN(BSSA14!$S8)-($C$16*BSSA14!$T8)),$E$14/SUM($C$14:$G$14)*(LN('CB14'!$Y8)-($C$16*'CB14'!$Z8)),$F$14/SUM($C$14:$G$14)*(LN('CY14'!$U8)-($C$16*'CY14'!$V8)),$G$14/SUM($C$14:$G$14)*(LN('I14'!$L8)-($C$16*'I14'!$M8)))))))</f>
        <v>0.20154124604583096</v>
      </c>
      <c r="I25" s="96">
        <f t="shared" si="0"/>
        <v>7.9009630364076915E-3</v>
      </c>
      <c r="J25" s="96">
        <f>DSF!$S24*Main!F25</f>
        <v>0.35329433187037063</v>
      </c>
      <c r="K25" s="96">
        <f>DSF!$S24*Main!G25</f>
        <v>0.61993179664115983</v>
      </c>
      <c r="L25" s="96">
        <f>DSF!$S24*Main!H25</f>
        <v>0.20133970479978514</v>
      </c>
      <c r="M25" s="96">
        <f>DSF!$S24*Main!I25</f>
        <v>7.893062073371284E-3</v>
      </c>
      <c r="N25" s="29"/>
      <c r="O25" s="29"/>
      <c r="P25" s="29"/>
      <c r="Q25" s="29"/>
      <c r="R25" s="29"/>
      <c r="S25" s="29"/>
      <c r="T25" s="29"/>
      <c r="U25" s="29"/>
      <c r="V25" s="29"/>
      <c r="W25" s="334"/>
      <c r="Z25" s="308" t="s">
        <v>293</v>
      </c>
      <c r="AA25" s="29" t="s">
        <v>359</v>
      </c>
      <c r="AB25" s="260">
        <f>IF(AND($C$14&lt;&gt;0,$C$39="Out of Range! Use 760 m/s"),1,0)</f>
        <v>0</v>
      </c>
    </row>
    <row r="26" spans="1:29" ht="16.149999999999999" x14ac:dyDescent="0.45">
      <c r="A26" s="334"/>
      <c r="B26" s="267" t="s">
        <v>206</v>
      </c>
      <c r="C26" s="278" t="str">
        <f>IF($B$27&lt;$B$30,"Rrup&lt;Rjb !!","")</f>
        <v/>
      </c>
      <c r="D26" s="364"/>
      <c r="E26" s="291">
        <v>0.05</v>
      </c>
      <c r="F26" s="96">
        <f>IF($B$104=0,IF($AB$52=0,SUM($C$14/SUM($C$14:$G$14)*'ASK14'!$E9,$D$14/SUM($C$14:$G$14)*BSSA14!$S9,$E$14/SUM($C$14:$G$14)*'CB14'!$Y9,$F$14/SUM($C$14:$G$14)*'CY14'!$U9,$G$14/SUM($C$14:$G$14)*'I14'!$L9),SUM($C$14/SUM($C$14:$G$14)*'ASK14'!$E9,$D$14/SUM($C$14:$G$14)*BSSA14!$S9,$E$14/SUM($C$14:$G$14)*'CB14'!$Y9,$F$14/SUM($C$14:$G$14)*'CY14'!$U9,$G$14/SUM($C$14:$G$14)*'I14'!$L9)),IF($B$104=1,IF($AB$52=0,EXP(SUM($C$14/SUM($C$14:$G$14)*LN('ASK14'!$E9),$D$14/SUM($C$14:$G$14)*LN(BSSA14!$S9),$E$14/SUM($C$14:$G$14)*LN('CB14'!$Y9),$F$14/SUM($C$14:$G$14)*LN('CY14'!$U9),$G$14/SUM($C$14:$G$14)*LN('I14'!$L9))),EXP(SUM($C$14/SUM($C$14:$G$14)*LN('ASK14'!$E9),$D$14/SUM($C$14:$G$14)*LN(BSSA14!$S9),$E$14/SUM($C$14:$G$14)*LN('CB14'!$Y9),$F$14/SUM($C$14:$G$14)*LN('CY14'!$U9),$G$14/SUM($C$14:$G$14)*LN('I14'!$L9))))))</f>
        <v>0.39810353480882438</v>
      </c>
      <c r="G26" s="96">
        <f>IF($B$104=0,IF($AB$52=0,SUM($C$14/SUM($C$14:$G$14)*('ASK14'!$E9*EXP(Main!$C$16*'ASK14'!$F9)),$D$14/SUM($C$14:$G$14)*(BSSA14!$S9*EXP(Main!$C$16*BSSA14!$T9)),$E$14/SUM($C$14:$G$14)*('CB14'!$Y9*EXP(Main!$C$16*'CB14'!$Z9)),$F$14/SUM($C$14:$G$14)*('CY14'!$U9*EXP(Main!$C$16*'CY14'!$V9)),$G$14/SUM($C$14:$G$14)*('I14'!$L9*EXP(Main!$C$16*'I14'!$M9))),SUM($C$14/SUM($C$14:$G$14)*('ASK14'!$E9*EXP(Main!$C$16*'ASK14'!$F9)),$D$14/SUM($C$14:$G$14)*(BSSA14!$S9*EXP(Main!$C$16*BSSA14!$T9)),$E$14/SUM($C$14:$G$14)*('CB14'!$Y9*EXP(Main!$C$16*'CB14'!$Z9)),$F$14/SUM($C$14:$G$14)*('CY14'!$U9*EXP(Main!$C$16*'CY14'!$V9)),$G$14/SUM($C$14:$G$14)*('I14'!$L9*EXP(Main!$C$16*'I14'!$M9)))),IF($B$104=1,IF($AB$52=0,EXP(SUM($C$14/SUM($C$14:$G$14)*(LN('ASK14'!$E9)+($C$16*'ASK14'!$F9)),$D$14/SUM($C$14:$G$14)*(LN(BSSA14!$S9)+($C$16*BSSA14!$T9)),$E$14/SUM($C$14:$G$14)*(LN('CB14'!$Y9)+($C$16*'CB14'!$Z9)),$F$14/SUM($C$14:$G$14)*(LN('CY14'!$U9)+($C$16*'CY14'!$V9)),$G$14/SUM($C$14:$G$14)*(LN('I14'!$L9)+($C$16*'I14'!$M9)))),EXP(SUM($C$14/SUM($C$14:$G$14)*(LN('ASK14'!$E9)+($C$16*'ASK14'!$F9)),$D$14/SUM($C$14:$G$14)*(LN(BSSA14!$S9)+($C$16*BSSA14!$T9)),$E$14/SUM($C$14:$G$14)*(LN('CB14'!$Y9)+($C$16*'CB14'!$Z9)),$F$14/SUM($C$14:$G$14)*(LN('CY14'!$U9)+($C$16*'CY14'!$V9)),$G$14/SUM($C$14:$G$14)*(LN('I14'!$L9)+($C$16*'I14'!$M9)))))))</f>
        <v>0.70748055672906029</v>
      </c>
      <c r="H26" s="96">
        <f>IF($B$104=0,IF($AB$52=0,SUM($C$14/SUM($C$14:$G$14)*('ASK14'!$E9*EXP(-Main!$C$16*'ASK14'!$F9)),$D$14/SUM($C$14:$G$14)*(BSSA14!$S9*EXP(-Main!$C$16*BSSA14!$T9)),$E$14/SUM($C$14:$G$14)*('CB14'!$Y9*EXP(-Main!$C$16*'CB14'!$Z9)),$F$14/SUM($C$14:$G$14)*('CY14'!$U9*EXP(-Main!$C$16*'CY14'!$V9)),$G$14/SUM($C$14:$G$14)*('I14'!$L9*EXP(-Main!$C$16*'I14'!$M9))),SUM($C$14/SUM($C$14:$G$14)*('ASK14'!$E9*EXP(-Main!$C$16*'ASK14'!$F9)),$D$14/SUM($C$14:$G$14)*(BSSA14!$S9*EXP(-Main!$C$16*BSSA14!$T9)),$E$14/SUM($C$14:$G$14)*('CB14'!$Y9*EXP(-Main!$C$16*'CB14'!$Z9)),$F$14/SUM($C$14:$G$14)*('CY14'!$U9*EXP(-Main!$C$16*'CY14'!$V9)),$G$14/SUM($C$14:$G$14)*('I14'!$L9*EXP(-Main!$C$16*'I14'!$M9)))),IF($B$104=1,IF($AB$52=0,EXP(SUM($C$14/SUM($C$14:$G$14)*(LN('ASK14'!$E9)-($C$16*'ASK14'!$F9)),$D$14/SUM($C$14:$G$14)*(LN(BSSA14!$S9)-($C$16*BSSA14!$T9)),$E$14/SUM($C$14:$G$14)*(LN('CB14'!$Y9)-($C$16*'CB14'!$Z9)),$F$14/SUM($C$14:$G$14)*(LN('CY14'!$U9)-($C$16*'CY14'!$V9)),$G$14/SUM($C$14:$G$14)*(LN('I14'!$L9)-($C$16*'I14'!$M9)))),EXP(SUM($C$14/SUM($C$14:$G$14)*(LN('ASK14'!$E9)-($C$16*'ASK14'!$F9)),$D$14/SUM($C$14:$G$14)*(LN(BSSA14!$S9)-($C$16*BSSA14!$T9)),$E$14/SUM($C$14:$G$14)*(LN('CB14'!$Y9)-($C$16*'CB14'!$Z9)),$F$14/SUM($C$14:$G$14)*(LN('CY14'!$U9)-($C$16*'CY14'!$V9)),$G$14/SUM($C$14:$G$14)*(LN('I14'!$L9)-($C$16*'I14'!$M9)))))))</f>
        <v>0.2240152367720481</v>
      </c>
      <c r="I26" s="96">
        <f t="shared" si="0"/>
        <v>2.4705996832405083E-2</v>
      </c>
      <c r="J26" s="96">
        <f>DSF!$S25*Main!F26</f>
        <v>0.39810353480882438</v>
      </c>
      <c r="K26" s="96">
        <f>DSF!$S25*Main!G26</f>
        <v>0.70748055672906029</v>
      </c>
      <c r="L26" s="96">
        <f>DSF!$S25*Main!H26</f>
        <v>0.2240152367720481</v>
      </c>
      <c r="M26" s="96">
        <f>DSF!$S25*Main!I26</f>
        <v>2.4705996832405083E-2</v>
      </c>
      <c r="N26" s="29"/>
      <c r="O26" s="29"/>
      <c r="P26" s="29"/>
      <c r="Q26" s="29"/>
      <c r="R26" s="29"/>
      <c r="S26" s="29"/>
      <c r="T26" s="29"/>
      <c r="U26" s="29"/>
      <c r="V26" s="29"/>
      <c r="W26" s="334"/>
      <c r="Y26" s="309" t="s">
        <v>295</v>
      </c>
      <c r="Z26" s="207" t="s">
        <v>345</v>
      </c>
      <c r="AA26" s="29" t="s">
        <v>370</v>
      </c>
      <c r="AB26" s="260">
        <f>IF(AND($D$14&lt;&gt;0,$C$24="! Not Applicable !"),1,0)</f>
        <v>0</v>
      </c>
      <c r="AC26">
        <f>SUM(AB26:AB31)</f>
        <v>0</v>
      </c>
    </row>
    <row r="27" spans="1:29" x14ac:dyDescent="0.45">
      <c r="A27" s="334"/>
      <c r="B27" s="196">
        <f>B30</f>
        <v>15.08</v>
      </c>
      <c r="C27" s="278" t="str">
        <f>IF($C$14&lt;&gt;0,'ASK14'!$B$9,IF($E$14&lt;&gt;0,'CB14'!$B$9,IF($F$14&lt;&gt;0,'CY14'!$B$9,IF($G$14&lt;&gt;0,'I14'!$B$9,""))))</f>
        <v/>
      </c>
      <c r="D27" s="364"/>
      <c r="E27" s="291">
        <v>7.4999999999999997E-2</v>
      </c>
      <c r="F27" s="96">
        <f>IF($B$104=0,IF($AB$52=0,SUM($C$14/SUM($C$14:$G$14)*'ASK14'!$E10,$D$14/SUM($C$14:$G$14)*BSSA14!$S10,$E$14/SUM($C$14:$G$14)*'CB14'!$Y10,$F$14/SUM($C$14:$G$14)*'CY14'!$U10,$G$14/SUM($C$14:$G$14)*'I14'!$L10),SUM($C$14/SUM($C$14:$G$14)*'ASK14'!$E10,$D$14/SUM($C$14:$G$14)*BSSA14!$S10,$E$14/SUM($C$14:$G$14)*'CB14'!$Y10,$F$14/SUM($C$14:$G$14)*'CY14'!$U10,$G$14/SUM($C$14:$G$14)*'I14'!$L10)),IF($B$104=1,IF($AB$52=0,EXP(SUM($C$14/SUM($C$14:$G$14)*LN('ASK14'!$E10),$D$14/SUM($C$14:$G$14)*LN(BSSA14!$S10),$E$14/SUM($C$14:$G$14)*LN('CB14'!$Y10),$F$14/SUM($C$14:$G$14)*LN('CY14'!$U10),$G$14/SUM($C$14:$G$14)*LN('I14'!$L10))),EXP(SUM($C$14/SUM($C$14:$G$14)*LN('ASK14'!$E10),$D$14/SUM($C$14:$G$14)*LN(BSSA14!$S10),$E$14/SUM($C$14:$G$14)*LN('CB14'!$Y10),$F$14/SUM($C$14:$G$14)*LN('CY14'!$U10),$G$14/SUM($C$14:$G$14)*LN('I14'!$L10))))))</f>
        <v>0.47431844804335688</v>
      </c>
      <c r="G27" s="96">
        <f>IF($B$104=0,IF($AB$52=0,SUM($C$14/SUM($C$14:$G$14)*('ASK14'!$E10*EXP(Main!$C$16*'ASK14'!$F10)),$D$14/SUM($C$14:$G$14)*(BSSA14!$S10*EXP(Main!$C$16*BSSA14!$T10)),$E$14/SUM($C$14:$G$14)*('CB14'!$Y10*EXP(Main!$C$16*'CB14'!$Z10)),$F$14/SUM($C$14:$G$14)*('CY14'!$U10*EXP(Main!$C$16*'CY14'!$V10)),$G$14/SUM($C$14:$G$14)*('I14'!$L10*EXP(Main!$C$16*'I14'!$M10))),SUM($C$14/SUM($C$14:$G$14)*('ASK14'!$E10*EXP(Main!$C$16*'ASK14'!$F10)),$D$14/SUM($C$14:$G$14)*(BSSA14!$S10*EXP(Main!$C$16*BSSA14!$T10)),$E$14/SUM($C$14:$G$14)*('CB14'!$Y10*EXP(Main!$C$16*'CB14'!$Z10)),$F$14/SUM($C$14:$G$14)*('CY14'!$U10*EXP(Main!$C$16*'CY14'!$V10)),$G$14/SUM($C$14:$G$14)*('I14'!$L10*EXP(Main!$C$16*'I14'!$M10)))),IF($B$104=1,IF($AB$52=0,EXP(SUM($C$14/SUM($C$14:$G$14)*(LN('ASK14'!$E10)+($C$16*'ASK14'!$F10)),$D$14/SUM($C$14:$G$14)*(LN(BSSA14!$S10)+($C$16*BSSA14!$T10)),$E$14/SUM($C$14:$G$14)*(LN('CB14'!$Y10)+($C$16*'CB14'!$Z10)),$F$14/SUM($C$14:$G$14)*(LN('CY14'!$U10)+($C$16*'CY14'!$V10)),$G$14/SUM($C$14:$G$14)*(LN('I14'!$L10)+($C$16*'I14'!$M10)))),EXP(SUM($C$14/SUM($C$14:$G$14)*(LN('ASK14'!$E10)+($C$16*'ASK14'!$F10)),$D$14/SUM($C$14:$G$14)*(LN(BSSA14!$S10)+($C$16*BSSA14!$T10)),$E$14/SUM($C$14:$G$14)*(LN('CB14'!$Y10)+($C$16*'CB14'!$Z10)),$F$14/SUM($C$14:$G$14)*(LN('CY14'!$U10)+($C$16*'CY14'!$V10)),$G$14/SUM($C$14:$G$14)*(LN('I14'!$L10)+($C$16*'I14'!$M10)))))))</f>
        <v>0.8528712081948463</v>
      </c>
      <c r="H27" s="96">
        <f>IF($B$104=0,IF($AB$52=0,SUM($C$14/SUM($C$14:$G$14)*('ASK14'!$E10*EXP(-Main!$C$16*'ASK14'!$F10)),$D$14/SUM($C$14:$G$14)*(BSSA14!$S10*EXP(-Main!$C$16*BSSA14!$T10)),$E$14/SUM($C$14:$G$14)*('CB14'!$Y10*EXP(-Main!$C$16*'CB14'!$Z10)),$F$14/SUM($C$14:$G$14)*('CY14'!$U10*EXP(-Main!$C$16*'CY14'!$V10)),$G$14/SUM($C$14:$G$14)*('I14'!$L10*EXP(-Main!$C$16*'I14'!$M10))),SUM($C$14/SUM($C$14:$G$14)*('ASK14'!$E10*EXP(-Main!$C$16*'ASK14'!$F10)),$D$14/SUM($C$14:$G$14)*(BSSA14!$S10*EXP(-Main!$C$16*BSSA14!$T10)),$E$14/SUM($C$14:$G$14)*('CB14'!$Y10*EXP(-Main!$C$16*'CB14'!$Z10)),$F$14/SUM($C$14:$G$14)*('CY14'!$U10*EXP(-Main!$C$16*'CY14'!$V10)),$G$14/SUM($C$14:$G$14)*('I14'!$L10*EXP(-Main!$C$16*'I14'!$M10)))),IF($B$104=1,IF($AB$52=0,EXP(SUM($C$14/SUM($C$14:$G$14)*(LN('ASK14'!$E10)-($C$16*'ASK14'!$F10)),$D$14/SUM($C$14:$G$14)*(LN(BSSA14!$S10)-($C$16*BSSA14!$T10)),$E$14/SUM($C$14:$G$14)*(LN('CB14'!$Y10)-($C$16*'CB14'!$Z10)),$F$14/SUM($C$14:$G$14)*(LN('CY14'!$U10)-($C$16*'CY14'!$V10)),$G$14/SUM($C$14:$G$14)*(LN('I14'!$L10)-($C$16*'I14'!$M10)))),EXP(SUM($C$14/SUM($C$14:$G$14)*(LN('ASK14'!$E10)-($C$16*'ASK14'!$F10)),$D$14/SUM($C$14:$G$14)*(LN(BSSA14!$S10)-($C$16*BSSA14!$T10)),$E$14/SUM($C$14:$G$14)*(LN('CB14'!$Y10)-($C$16*'CB14'!$Z10)),$F$14/SUM($C$14:$G$14)*(LN('CY14'!$U10)-($C$16*'CY14'!$V10)),$G$14/SUM($C$14:$G$14)*(LN('I14'!$L10)-($C$16*'I14'!$M10)))))))</f>
        <v>0.26378893787543622</v>
      </c>
      <c r="I27" s="96">
        <f t="shared" si="0"/>
        <v>6.6230629379390546E-2</v>
      </c>
      <c r="J27" s="96">
        <f>DSF!$S26*Main!F27</f>
        <v>0.47574140338748688</v>
      </c>
      <c r="K27" s="96">
        <f>DSF!$S26*Main!G27</f>
        <v>0.85542982181943072</v>
      </c>
      <c r="L27" s="96">
        <f>DSF!$S26*Main!H27</f>
        <v>0.26458030468906252</v>
      </c>
      <c r="M27" s="96">
        <f>DSF!$S26*Main!I27</f>
        <v>6.6429321267528707E-2</v>
      </c>
      <c r="N27" s="29"/>
      <c r="O27" s="29"/>
      <c r="P27" s="29"/>
      <c r="Q27" s="29"/>
      <c r="R27" s="29"/>
      <c r="S27" s="29"/>
      <c r="T27" s="29"/>
      <c r="U27" s="29"/>
      <c r="V27" s="29"/>
      <c r="W27" s="334"/>
      <c r="Y27" s="111"/>
      <c r="Z27" s="207" t="s">
        <v>346</v>
      </c>
      <c r="AA27" s="29" t="s">
        <v>370</v>
      </c>
      <c r="AB27" s="260">
        <f>IF(AND($D$14&lt;&gt;0,$C$24="! Not Applicable !"),1,0)</f>
        <v>0</v>
      </c>
    </row>
    <row r="28" spans="1:29" x14ac:dyDescent="0.45">
      <c r="A28" s="334"/>
      <c r="B28" s="179"/>
      <c r="C28" s="278"/>
      <c r="D28" s="364"/>
      <c r="E28" s="291">
        <v>0.1</v>
      </c>
      <c r="F28" s="96">
        <f>IF($B$104=0,IF($AB$52=0,SUM($C$14/SUM($C$14:$G$14)*'ASK14'!$E11,$D$14/SUM($C$14:$G$14)*BSSA14!$S11,$E$14/SUM($C$14:$G$14)*'CB14'!$Y11,$F$14/SUM($C$14:$G$14)*'CY14'!$U11,$G$14/SUM($C$14:$G$14)*'I14'!$L11),SUM($C$14/SUM($C$14:$G$14)*'ASK14'!$E11,$D$14/SUM($C$14:$G$14)*BSSA14!$S11,$E$14/SUM($C$14:$G$14)*'CB14'!$Y11,$F$14/SUM($C$14:$G$14)*'CY14'!$U11,$G$14/SUM($C$14:$G$14)*'I14'!$L11)),IF($B$104=1,IF($AB$52=0,EXP(SUM($C$14/SUM($C$14:$G$14)*LN('ASK14'!$E11),$D$14/SUM($C$14:$G$14)*LN(BSSA14!$S11),$E$14/SUM($C$14:$G$14)*LN('CB14'!$Y11),$F$14/SUM($C$14:$G$14)*LN('CY14'!$U11),$G$14/SUM($C$14:$G$14)*LN('I14'!$L11))),EXP(SUM($C$14/SUM($C$14:$G$14)*LN('ASK14'!$E11),$D$14/SUM($C$14:$G$14)*LN(BSSA14!$S11),$E$14/SUM($C$14:$G$14)*LN('CB14'!$Y11),$F$14/SUM($C$14:$G$14)*LN('CY14'!$U11),$G$14/SUM($C$14:$G$14)*LN('I14'!$L11))))))</f>
        <v>0.54729847958338851</v>
      </c>
      <c r="G28" s="96">
        <f>IF($B$104=0,IF($AB$52=0,SUM($C$14/SUM($C$14:$G$14)*('ASK14'!$E11*EXP(Main!$C$16*'ASK14'!$F11)),$D$14/SUM($C$14:$G$14)*(BSSA14!$S11*EXP(Main!$C$16*BSSA14!$T11)),$E$14/SUM($C$14:$G$14)*('CB14'!$Y11*EXP(Main!$C$16*'CB14'!$Z11)),$F$14/SUM($C$14:$G$14)*('CY14'!$U11*EXP(Main!$C$16*'CY14'!$V11)),$G$14/SUM($C$14:$G$14)*('I14'!$L11*EXP(Main!$C$16*'I14'!$M11))),SUM($C$14/SUM($C$14:$G$14)*('ASK14'!$E11*EXP(Main!$C$16*'ASK14'!$F11)),$D$14/SUM($C$14:$G$14)*(BSSA14!$S11*EXP(Main!$C$16*BSSA14!$T11)),$E$14/SUM($C$14:$G$14)*('CB14'!$Y11*EXP(Main!$C$16*'CB14'!$Z11)),$F$14/SUM($C$14:$G$14)*('CY14'!$U11*EXP(Main!$C$16*'CY14'!$V11)),$G$14/SUM($C$14:$G$14)*('I14'!$L11*EXP(Main!$C$16*'I14'!$M11)))),IF($B$104=1,IF($AB$52=0,EXP(SUM($C$14/SUM($C$14:$G$14)*(LN('ASK14'!$E11)+($C$16*'ASK14'!$F11)),$D$14/SUM($C$14:$G$14)*(LN(BSSA14!$S11)+($C$16*BSSA14!$T11)),$E$14/SUM($C$14:$G$14)*(LN('CB14'!$Y11)+($C$16*'CB14'!$Z11)),$F$14/SUM($C$14:$G$14)*(LN('CY14'!$U11)+($C$16*'CY14'!$V11)),$G$14/SUM($C$14:$G$14)*(LN('I14'!$L11)+($C$16*'I14'!$M11)))),EXP(SUM($C$14/SUM($C$14:$G$14)*(LN('ASK14'!$E11)+($C$16*'ASK14'!$F11)),$D$14/SUM($C$14:$G$14)*(LN(BSSA14!$S11)+($C$16*BSSA14!$T11)),$E$14/SUM($C$14:$G$14)*(LN('CB14'!$Y11)+($C$16*'CB14'!$Z11)),$F$14/SUM($C$14:$G$14)*(LN('CY14'!$U11)+($C$16*'CY14'!$V11)),$G$14/SUM($C$14:$G$14)*(LN('I14'!$L11)+($C$16*'I14'!$M11)))))))</f>
        <v>0.98457403557069845</v>
      </c>
      <c r="H28" s="96">
        <f>IF($B$104=0,IF($AB$52=0,SUM($C$14/SUM($C$14:$G$14)*('ASK14'!$E11*EXP(-Main!$C$16*'ASK14'!$F11)),$D$14/SUM($C$14:$G$14)*(BSSA14!$S11*EXP(-Main!$C$16*BSSA14!$T11)),$E$14/SUM($C$14:$G$14)*('CB14'!$Y11*EXP(-Main!$C$16*'CB14'!$Z11)),$F$14/SUM($C$14:$G$14)*('CY14'!$U11*EXP(-Main!$C$16*'CY14'!$V11)),$G$14/SUM($C$14:$G$14)*('I14'!$L11*EXP(-Main!$C$16*'I14'!$M11))),SUM($C$14/SUM($C$14:$G$14)*('ASK14'!$E11*EXP(-Main!$C$16*'ASK14'!$F11)),$D$14/SUM($C$14:$G$14)*(BSSA14!$S11*EXP(-Main!$C$16*BSSA14!$T11)),$E$14/SUM($C$14:$G$14)*('CB14'!$Y11*EXP(-Main!$C$16*'CB14'!$Z11)),$F$14/SUM($C$14:$G$14)*('CY14'!$U11*EXP(-Main!$C$16*'CY14'!$V11)),$G$14/SUM($C$14:$G$14)*('I14'!$L11*EXP(-Main!$C$16*'I14'!$M11)))),IF($B$104=1,IF($AB$52=0,EXP(SUM($C$14/SUM($C$14:$G$14)*(LN('ASK14'!$E11)-($C$16*'ASK14'!$F11)),$D$14/SUM($C$14:$G$14)*(LN(BSSA14!$S11)-($C$16*BSSA14!$T11)),$E$14/SUM($C$14:$G$14)*(LN('CB14'!$Y11)-($C$16*'CB14'!$Z11)),$F$14/SUM($C$14:$G$14)*(LN('CY14'!$U11)-($C$16*'CY14'!$V11)),$G$14/SUM($C$14:$G$14)*(LN('I14'!$L11)-($C$16*'I14'!$M11)))),EXP(SUM($C$14/SUM($C$14:$G$14)*(LN('ASK14'!$E11)-($C$16*'ASK14'!$F11)),$D$14/SUM($C$14:$G$14)*(LN(BSSA14!$S11)-($C$16*BSSA14!$T11)),$E$14/SUM($C$14:$G$14)*(LN('CB14'!$Y11)-($C$16*'CB14'!$Z11)),$F$14/SUM($C$14:$G$14)*(LN('CY14'!$U11)-($C$16*'CY14'!$V11)),$G$14/SUM($C$14:$G$14)*(LN('I14'!$L11)-($C$16*'I14'!$M11)))))))</f>
        <v>0.30422864602626443</v>
      </c>
      <c r="I28" s="96">
        <f t="shared" si="0"/>
        <v>0.13585967790474984</v>
      </c>
      <c r="J28" s="96">
        <f>DSF!$S27*Main!F28</f>
        <v>0.54894037502213866</v>
      </c>
      <c r="K28" s="96">
        <f>DSF!$S27*Main!G28</f>
        <v>0.98752775767741041</v>
      </c>
      <c r="L28" s="96">
        <f>DSF!$S27*Main!H28</f>
        <v>0.30514133196434318</v>
      </c>
      <c r="M28" s="96">
        <f>DSF!$S27*Main!I28</f>
        <v>0.13626725693846409</v>
      </c>
      <c r="N28" s="29"/>
      <c r="O28" s="29"/>
      <c r="P28" s="29"/>
      <c r="Q28" s="29"/>
      <c r="R28" s="29"/>
      <c r="S28" s="29"/>
      <c r="T28" s="29"/>
      <c r="U28" s="29"/>
      <c r="V28" s="29"/>
      <c r="W28" s="334"/>
      <c r="Z28" s="207" t="s">
        <v>347</v>
      </c>
      <c r="AA28" s="29" t="s">
        <v>375</v>
      </c>
      <c r="AB28" s="260">
        <f>IF(AND($D$14&lt;&gt;0,$C$24="! Not Applicable !"),1,0)</f>
        <v>0</v>
      </c>
    </row>
    <row r="29" spans="1:29" ht="16.149999999999999" x14ac:dyDescent="0.45">
      <c r="A29" s="334"/>
      <c r="B29" s="267" t="s">
        <v>207</v>
      </c>
      <c r="C29" s="278"/>
      <c r="D29" s="364"/>
      <c r="E29" s="291">
        <v>0.15</v>
      </c>
      <c r="F29" s="96">
        <f>IF($B$104=0,IF($AB$52=0,SUM($C$14/SUM($C$14:$G$14)*'ASK14'!$E12,$D$14/SUM($C$14:$G$14)*BSSA14!$S12,$E$14/SUM($C$14:$G$14)*'CB14'!$Y12,$F$14/SUM($C$14:$G$14)*'CY14'!$U12,$G$14/SUM($C$14:$G$14)*'I14'!$L12),SUM($C$14/SUM($C$14:$G$14)*'ASK14'!$E12,$D$14/SUM($C$14:$G$14)*BSSA14!$S12,$E$14/SUM($C$14:$G$14)*'CB14'!$Y12,$F$14/SUM($C$14:$G$14)*'CY14'!$U12,$G$14/SUM($C$14:$G$14)*'I14'!$L12)),IF($B$104=1,IF($AB$52=0,EXP(SUM($C$14/SUM($C$14:$G$14)*LN('ASK14'!$E12),$D$14/SUM($C$14:$G$14)*LN(BSSA14!$S12),$E$14/SUM($C$14:$G$14)*LN('CB14'!$Y12),$F$14/SUM($C$14:$G$14)*LN('CY14'!$U12),$G$14/SUM($C$14:$G$14)*LN('I14'!$L12))),EXP(SUM($C$14/SUM($C$14:$G$14)*LN('ASK14'!$E12),$D$14/SUM($C$14:$G$14)*LN(BSSA14!$S12),$E$14/SUM($C$14:$G$14)*LN('CB14'!$Y12),$F$14/SUM($C$14:$G$14)*LN('CY14'!$U12),$G$14/SUM($C$14:$G$14)*LN('I14'!$L12))))))</f>
        <v>0.66667652385183418</v>
      </c>
      <c r="G29" s="96">
        <f>IF($B$104=0,IF($AB$52=0,SUM($C$14/SUM($C$14:$G$14)*('ASK14'!$E12*EXP(Main!$C$16*'ASK14'!$F12)),$D$14/SUM($C$14:$G$14)*(BSSA14!$S12*EXP(Main!$C$16*BSSA14!$T12)),$E$14/SUM($C$14:$G$14)*('CB14'!$Y12*EXP(Main!$C$16*'CB14'!$Z12)),$F$14/SUM($C$14:$G$14)*('CY14'!$U12*EXP(Main!$C$16*'CY14'!$V12)),$G$14/SUM($C$14:$G$14)*('I14'!$L12*EXP(Main!$C$16*'I14'!$M12))),SUM($C$14/SUM($C$14:$G$14)*('ASK14'!$E12*EXP(Main!$C$16*'ASK14'!$F12)),$D$14/SUM($C$14:$G$14)*(BSSA14!$S12*EXP(Main!$C$16*BSSA14!$T12)),$E$14/SUM($C$14:$G$14)*('CB14'!$Y12*EXP(Main!$C$16*'CB14'!$Z12)),$F$14/SUM($C$14:$G$14)*('CY14'!$U12*EXP(Main!$C$16*'CY14'!$V12)),$G$14/SUM($C$14:$G$14)*('I14'!$L12*EXP(Main!$C$16*'I14'!$M12)))),IF($B$104=1,IF($AB$52=0,EXP(SUM($C$14/SUM($C$14:$G$14)*(LN('ASK14'!$E12)+($C$16*'ASK14'!$F12)),$D$14/SUM($C$14:$G$14)*(LN(BSSA14!$S12)+($C$16*BSSA14!$T12)),$E$14/SUM($C$14:$G$14)*(LN('CB14'!$Y12)+($C$16*'CB14'!$Z12)),$F$14/SUM($C$14:$G$14)*(LN('CY14'!$U12)+($C$16*'CY14'!$V12)),$G$14/SUM($C$14:$G$14)*(LN('I14'!$L12)+($C$16*'I14'!$M12)))),EXP(SUM($C$14/SUM($C$14:$G$14)*(LN('ASK14'!$E12)+($C$16*'ASK14'!$F12)),$D$14/SUM($C$14:$G$14)*(LN(BSSA14!$S12)+($C$16*BSSA14!$T12)),$E$14/SUM($C$14:$G$14)*(LN('CB14'!$Y12)+($C$16*'CB14'!$Z12)),$F$14/SUM($C$14:$G$14)*(LN('CY14'!$U12)+($C$16*'CY14'!$V12)),$G$14/SUM($C$14:$G$14)*(LN('I14'!$L12)+($C$16*'I14'!$M12)))))))</f>
        <v>1.185420760836172</v>
      </c>
      <c r="H29" s="96">
        <f>IF($B$104=0,IF($AB$52=0,SUM($C$14/SUM($C$14:$G$14)*('ASK14'!$E12*EXP(-Main!$C$16*'ASK14'!$F12)),$D$14/SUM($C$14:$G$14)*(BSSA14!$S12*EXP(-Main!$C$16*BSSA14!$T12)),$E$14/SUM($C$14:$G$14)*('CB14'!$Y12*EXP(-Main!$C$16*'CB14'!$Z12)),$F$14/SUM($C$14:$G$14)*('CY14'!$U12*EXP(-Main!$C$16*'CY14'!$V12)),$G$14/SUM($C$14:$G$14)*('I14'!$L12*EXP(-Main!$C$16*'I14'!$M12))),SUM($C$14/SUM($C$14:$G$14)*('ASK14'!$E12*EXP(-Main!$C$16*'ASK14'!$F12)),$D$14/SUM($C$14:$G$14)*(BSSA14!$S12*EXP(-Main!$C$16*BSSA14!$T12)),$E$14/SUM($C$14:$G$14)*('CB14'!$Y12*EXP(-Main!$C$16*'CB14'!$Z12)),$F$14/SUM($C$14:$G$14)*('CY14'!$U12*EXP(-Main!$C$16*'CY14'!$V12)),$G$14/SUM($C$14:$G$14)*('I14'!$L12*EXP(-Main!$C$16*'I14'!$M12)))),IF($B$104=1,IF($AB$52=0,EXP(SUM($C$14/SUM($C$14:$G$14)*(LN('ASK14'!$E12)-($C$16*'ASK14'!$F12)),$D$14/SUM($C$14:$G$14)*(LN(BSSA14!$S12)-($C$16*BSSA14!$T12)),$E$14/SUM($C$14:$G$14)*(LN('CB14'!$Y12)-($C$16*'CB14'!$Z12)),$F$14/SUM($C$14:$G$14)*(LN('CY14'!$U12)-($C$16*'CY14'!$V12)),$G$14/SUM($C$14:$G$14)*(LN('I14'!$L12)-($C$16*'I14'!$M12)))),EXP(SUM($C$14/SUM($C$14:$G$14)*(LN('ASK14'!$E12)-($C$16*'ASK14'!$F12)),$D$14/SUM($C$14:$G$14)*(LN(BSSA14!$S12)-($C$16*BSSA14!$T12)),$E$14/SUM($C$14:$G$14)*(LN('CB14'!$Y12)-($C$16*'CB14'!$Z12)),$F$14/SUM($C$14:$G$14)*(LN('CY14'!$U12)-($C$16*'CY14'!$V12)),$G$14/SUM($C$14:$G$14)*(LN('I14'!$L12)-($C$16*'I14'!$M12)))))))</f>
        <v>0.37493656441587353</v>
      </c>
      <c r="I29" s="96">
        <f t="shared" si="0"/>
        <v>0.37236085544903919</v>
      </c>
      <c r="J29" s="96">
        <f>DSF!$S28*Main!F29</f>
        <v>0.66867655342338961</v>
      </c>
      <c r="K29" s="96">
        <f>DSF!$S28*Main!G29</f>
        <v>1.1889770231186805</v>
      </c>
      <c r="L29" s="96">
        <f>DSF!$S28*Main!H29</f>
        <v>0.3760613741091211</v>
      </c>
      <c r="M29" s="96">
        <f>DSF!$S28*Main!I29</f>
        <v>0.37347793801538626</v>
      </c>
      <c r="N29" s="29"/>
      <c r="O29" s="29"/>
      <c r="P29" s="29"/>
      <c r="Q29" s="29"/>
      <c r="R29" s="29"/>
      <c r="S29" s="29"/>
      <c r="T29" s="29"/>
      <c r="U29" s="29"/>
      <c r="V29" s="29"/>
      <c r="W29" s="334"/>
      <c r="Z29" s="308" t="s">
        <v>376</v>
      </c>
      <c r="AA29" s="29" t="s">
        <v>377</v>
      </c>
      <c r="AB29" s="260">
        <f>IF(AND($D$14&lt;&gt;0,$C$30="! Not Applicable !"),1,0)</f>
        <v>0</v>
      </c>
    </row>
    <row r="30" spans="1:29" x14ac:dyDescent="0.45">
      <c r="A30" s="334"/>
      <c r="B30" s="196">
        <v>15.08</v>
      </c>
      <c r="C30" s="279" t="str">
        <f>IF($D$14&lt;&gt;0,BSSA14!$B$12,"")</f>
        <v/>
      </c>
      <c r="D30" s="364"/>
      <c r="E30" s="291">
        <v>0.2</v>
      </c>
      <c r="F30" s="96">
        <f>IF($B$104=0,IF($AB$52=0,SUM($C$14/SUM($C$14:$G$14)*'ASK14'!$E13,$D$14/SUM($C$14:$G$14)*BSSA14!$S13,$E$14/SUM($C$14:$G$14)*'CB14'!$Y13,$F$14/SUM($C$14:$G$14)*'CY14'!$U13,$G$14/SUM($C$14:$G$14)*'I14'!$L13),SUM($C$14/SUM($C$14:$G$14)*'ASK14'!$E13,$D$14/SUM($C$14:$G$14)*BSSA14!$S13,$E$14/SUM($C$14:$G$14)*'CB14'!$Y13,$F$14/SUM($C$14:$G$14)*'CY14'!$U13,$G$14/SUM($C$14:$G$14)*'I14'!$L13)),IF($B$104=1,IF($AB$52=0,EXP(SUM($C$14/SUM($C$14:$G$14)*LN('ASK14'!$E13),$D$14/SUM($C$14:$G$14)*LN(BSSA14!$S13),$E$14/SUM($C$14:$G$14)*LN('CB14'!$Y13),$F$14/SUM($C$14:$G$14)*LN('CY14'!$U13),$G$14/SUM($C$14:$G$14)*LN('I14'!$L13))),EXP(SUM($C$14/SUM($C$14:$G$14)*LN('ASK14'!$E13),$D$14/SUM($C$14:$G$14)*LN(BSSA14!$S13),$E$14/SUM($C$14:$G$14)*LN('CB14'!$Y13),$F$14/SUM($C$14:$G$14)*LN('CY14'!$U13),$G$14/SUM($C$14:$G$14)*LN('I14'!$L13))))))</f>
        <v>0.74113882444150769</v>
      </c>
      <c r="G30" s="96">
        <f>IF($B$104=0,IF($AB$52=0,SUM($C$14/SUM($C$14:$G$14)*('ASK14'!$E13*EXP(Main!$C$16*'ASK14'!$F13)),$D$14/SUM($C$14:$G$14)*(BSSA14!$S13*EXP(Main!$C$16*BSSA14!$T13)),$E$14/SUM($C$14:$G$14)*('CB14'!$Y13*EXP(Main!$C$16*'CB14'!$Z13)),$F$14/SUM($C$14:$G$14)*('CY14'!$U13*EXP(Main!$C$16*'CY14'!$V13)),$G$14/SUM($C$14:$G$14)*('I14'!$L13*EXP(Main!$C$16*'I14'!$M13))),SUM($C$14/SUM($C$14:$G$14)*('ASK14'!$E13*EXP(Main!$C$16*'ASK14'!$F13)),$D$14/SUM($C$14:$G$14)*(BSSA14!$S13*EXP(Main!$C$16*BSSA14!$T13)),$E$14/SUM($C$14:$G$14)*('CB14'!$Y13*EXP(Main!$C$16*'CB14'!$Z13)),$F$14/SUM($C$14:$G$14)*('CY14'!$U13*EXP(Main!$C$16*'CY14'!$V13)),$G$14/SUM($C$14:$G$14)*('I14'!$L13*EXP(Main!$C$16*'I14'!$M13)))),IF($B$104=1,IF($AB$52=0,EXP(SUM($C$14/SUM($C$14:$G$14)*(LN('ASK14'!$E13)+($C$16*'ASK14'!$F13)),$D$14/SUM($C$14:$G$14)*(LN(BSSA14!$S13)+($C$16*BSSA14!$T13)),$E$14/SUM($C$14:$G$14)*(LN('CB14'!$Y13)+($C$16*'CB14'!$Z13)),$F$14/SUM($C$14:$G$14)*(LN('CY14'!$U13)+($C$16*'CY14'!$V13)),$G$14/SUM($C$14:$G$14)*(LN('I14'!$L13)+($C$16*'I14'!$M13)))),EXP(SUM($C$14/SUM($C$14:$G$14)*(LN('ASK14'!$E13)+($C$16*'ASK14'!$F13)),$D$14/SUM($C$14:$G$14)*(LN(BSSA14!$S13)+($C$16*BSSA14!$T13)),$E$14/SUM($C$14:$G$14)*(LN('CB14'!$Y13)+($C$16*'CB14'!$Z13)),$F$14/SUM($C$14:$G$14)*(LN('CY14'!$U13)+($C$16*'CY14'!$V13)),$G$14/SUM($C$14:$G$14)*(LN('I14'!$L13)+($C$16*'I14'!$M13)))))))</f>
        <v>1.3163375109043711</v>
      </c>
      <c r="H30" s="96">
        <f>IF($B$104=0,IF($AB$52=0,SUM($C$14/SUM($C$14:$G$14)*('ASK14'!$E13*EXP(-Main!$C$16*'ASK14'!$F13)),$D$14/SUM($C$14:$G$14)*(BSSA14!$S13*EXP(-Main!$C$16*BSSA14!$T13)),$E$14/SUM($C$14:$G$14)*('CB14'!$Y13*EXP(-Main!$C$16*'CB14'!$Z13)),$F$14/SUM($C$14:$G$14)*('CY14'!$U13*EXP(-Main!$C$16*'CY14'!$V13)),$G$14/SUM($C$14:$G$14)*('I14'!$L13*EXP(-Main!$C$16*'I14'!$M13))),SUM($C$14/SUM($C$14:$G$14)*('ASK14'!$E13*EXP(-Main!$C$16*'ASK14'!$F13)),$D$14/SUM($C$14:$G$14)*(BSSA14!$S13*EXP(-Main!$C$16*BSSA14!$T13)),$E$14/SUM($C$14:$G$14)*('CB14'!$Y13*EXP(-Main!$C$16*'CB14'!$Z13)),$F$14/SUM($C$14:$G$14)*('CY14'!$U13*EXP(-Main!$C$16*'CY14'!$V13)),$G$14/SUM($C$14:$G$14)*('I14'!$L13*EXP(-Main!$C$16*'I14'!$M13)))),IF($B$104=1,IF($AB$52=0,EXP(SUM($C$14/SUM($C$14:$G$14)*(LN('ASK14'!$E13)-($C$16*'ASK14'!$F13)),$D$14/SUM($C$14:$G$14)*(LN(BSSA14!$S13)-($C$16*BSSA14!$T13)),$E$14/SUM($C$14:$G$14)*(LN('CB14'!$Y13)-($C$16*'CB14'!$Z13)),$F$14/SUM($C$14:$G$14)*(LN('CY14'!$U13)-($C$16*'CY14'!$V13)),$G$14/SUM($C$14:$G$14)*(LN('I14'!$L13)-($C$16*'I14'!$M13)))),EXP(SUM($C$14/SUM($C$14:$G$14)*(LN('ASK14'!$E13)-($C$16*'ASK14'!$F13)),$D$14/SUM($C$14:$G$14)*(LN(BSSA14!$S13)-($C$16*BSSA14!$T13)),$E$14/SUM($C$14:$G$14)*(LN('CB14'!$Y13)-($C$16*'CB14'!$Z13)),$F$14/SUM($C$14:$G$14)*(LN('CY14'!$U13)-($C$16*'CY14'!$V13)),$G$14/SUM($C$14:$G$14)*(LN('I14'!$L13)-($C$16*'I14'!$M13)))))))</f>
        <v>0.41728413309224943</v>
      </c>
      <c r="I30" s="96">
        <f t="shared" si="0"/>
        <v>0.73591201676990248</v>
      </c>
      <c r="J30" s="96">
        <f>DSF!$S29*Main!F30</f>
        <v>0.74336224091483216</v>
      </c>
      <c r="K30" s="96">
        <f>DSF!$S29*Main!G30</f>
        <v>1.3202865234370842</v>
      </c>
      <c r="L30" s="96">
        <f>DSF!$S29*Main!H30</f>
        <v>0.41853598549152615</v>
      </c>
      <c r="M30" s="96">
        <f>DSF!$S29*Main!I30</f>
        <v>0.73811975282021214</v>
      </c>
      <c r="N30" s="29"/>
      <c r="O30" s="29"/>
      <c r="P30" s="29"/>
      <c r="Q30" s="29"/>
      <c r="R30" s="29"/>
      <c r="S30" s="29"/>
      <c r="T30" s="29"/>
      <c r="U30" s="29"/>
      <c r="V30" s="29"/>
      <c r="W30" s="334"/>
      <c r="Z30" s="308" t="s">
        <v>293</v>
      </c>
      <c r="AA30" s="29" t="s">
        <v>351</v>
      </c>
      <c r="AB30" s="260">
        <f>IF(AND($D$14&lt;&gt;0,$C$45="Out of Range! Use 760 m/s"),1,0)</f>
        <v>0</v>
      </c>
    </row>
    <row r="31" spans="1:29" x14ac:dyDescent="0.45">
      <c r="A31" s="334"/>
      <c r="B31" s="179"/>
      <c r="C31" s="278"/>
      <c r="D31" s="364"/>
      <c r="E31" s="291">
        <v>0.25</v>
      </c>
      <c r="F31" s="96">
        <f>IF($B$104=0,IF($AB$52=0,SUM($C$14/SUM($C$14:$G$14)*'ASK14'!$E14,$D$14/SUM($C$14:$G$14)*BSSA14!$S14,$E$14/SUM($C$14:$G$14)*'CB14'!$Y14,$F$14/SUM($C$14:$G$14)*'CY14'!$U14,$G$14/SUM($C$14:$G$14)*'I14'!$L14),SUM($C$14/SUM($C$14:$G$14)*'ASK14'!$E14,$D$14/SUM($C$14:$G$14)*BSSA14!$S14,$E$14/SUM($C$14:$G$14)*'CB14'!$Y14,$F$14/SUM($C$14:$G$14)*'CY14'!$U14,$G$14/SUM($C$14:$G$14)*'I14'!$L14)),IF($B$104=1,IF($AB$52=0,EXP(SUM($C$14/SUM($C$14:$G$14)*LN('ASK14'!$E14),$D$14/SUM($C$14:$G$14)*LN(BSSA14!$S14),$E$14/SUM($C$14:$G$14)*LN('CB14'!$Y14),$F$14/SUM($C$14:$G$14)*LN('CY14'!$U14),$G$14/SUM($C$14:$G$14)*LN('I14'!$L14))),EXP(SUM($C$14/SUM($C$14:$G$14)*LN('ASK14'!$E14),$D$14/SUM($C$14:$G$14)*LN(BSSA14!$S14),$E$14/SUM($C$14:$G$14)*LN('CB14'!$Y14),$F$14/SUM($C$14:$G$14)*LN('CY14'!$U14),$G$14/SUM($C$14:$G$14)*LN('I14'!$L14))))))</f>
        <v>0.77909282584852235</v>
      </c>
      <c r="G31" s="96">
        <f>IF($B$104=0,IF($AB$52=0,SUM($C$14/SUM($C$14:$G$14)*('ASK14'!$E14*EXP(Main!$C$16*'ASK14'!$F14)),$D$14/SUM($C$14:$G$14)*(BSSA14!$S14*EXP(Main!$C$16*BSSA14!$T14)),$E$14/SUM($C$14:$G$14)*('CB14'!$Y14*EXP(Main!$C$16*'CB14'!$Z14)),$F$14/SUM($C$14:$G$14)*('CY14'!$U14*EXP(Main!$C$16*'CY14'!$V14)),$G$14/SUM($C$14:$G$14)*('I14'!$L14*EXP(Main!$C$16*'I14'!$M14))),SUM($C$14/SUM($C$14:$G$14)*('ASK14'!$E14*EXP(Main!$C$16*'ASK14'!$F14)),$D$14/SUM($C$14:$G$14)*(BSSA14!$S14*EXP(Main!$C$16*BSSA14!$T14)),$E$14/SUM($C$14:$G$14)*('CB14'!$Y14*EXP(Main!$C$16*'CB14'!$Z14)),$F$14/SUM($C$14:$G$14)*('CY14'!$U14*EXP(Main!$C$16*'CY14'!$V14)),$G$14/SUM($C$14:$G$14)*('I14'!$L14*EXP(Main!$C$16*'I14'!$M14)))),IF($B$104=1,IF($AB$52=0,EXP(SUM($C$14/SUM($C$14:$G$14)*(LN('ASK14'!$E14)+($C$16*'ASK14'!$F14)),$D$14/SUM($C$14:$G$14)*(LN(BSSA14!$S14)+($C$16*BSSA14!$T14)),$E$14/SUM($C$14:$G$14)*(LN('CB14'!$Y14)+($C$16*'CB14'!$Z14)),$F$14/SUM($C$14:$G$14)*(LN('CY14'!$U14)+($C$16*'CY14'!$V14)),$G$14/SUM($C$14:$G$14)*(LN('I14'!$L14)+($C$16*'I14'!$M14)))),EXP(SUM($C$14/SUM($C$14:$G$14)*(LN('ASK14'!$E14)+($C$16*'ASK14'!$F14)),$D$14/SUM($C$14:$G$14)*(LN(BSSA14!$S14)+($C$16*BSSA14!$T14)),$E$14/SUM($C$14:$G$14)*(LN('CB14'!$Y14)+($C$16*'CB14'!$Z14)),$F$14/SUM($C$14:$G$14)*(LN('CY14'!$U14)+($C$16*'CY14'!$V14)),$G$14/SUM($C$14:$G$14)*(LN('I14'!$L14)+($C$16*'I14'!$M14)))))))</f>
        <v>1.3968702237829058</v>
      </c>
      <c r="H31" s="96">
        <f>IF($B$104=0,IF($AB$52=0,SUM($C$14/SUM($C$14:$G$14)*('ASK14'!$E14*EXP(-Main!$C$16*'ASK14'!$F14)),$D$14/SUM($C$14:$G$14)*(BSSA14!$S14*EXP(-Main!$C$16*BSSA14!$T14)),$E$14/SUM($C$14:$G$14)*('CB14'!$Y14*EXP(-Main!$C$16*'CB14'!$Z14)),$F$14/SUM($C$14:$G$14)*('CY14'!$U14*EXP(-Main!$C$16*'CY14'!$V14)),$G$14/SUM($C$14:$G$14)*('I14'!$L14*EXP(-Main!$C$16*'I14'!$M14))),SUM($C$14/SUM($C$14:$G$14)*('ASK14'!$E14*EXP(-Main!$C$16*'ASK14'!$F14)),$D$14/SUM($C$14:$G$14)*(BSSA14!$S14*EXP(-Main!$C$16*BSSA14!$T14)),$E$14/SUM($C$14:$G$14)*('CB14'!$Y14*EXP(-Main!$C$16*'CB14'!$Z14)),$F$14/SUM($C$14:$G$14)*('CY14'!$U14*EXP(-Main!$C$16*'CY14'!$V14)),$G$14/SUM($C$14:$G$14)*('I14'!$L14*EXP(-Main!$C$16*'I14'!$M14)))),IF($B$104=1,IF($AB$52=0,EXP(SUM($C$14/SUM($C$14:$G$14)*(LN('ASK14'!$E14)-($C$16*'ASK14'!$F14)),$D$14/SUM($C$14:$G$14)*(LN(BSSA14!$S14)-($C$16*BSSA14!$T14)),$E$14/SUM($C$14:$G$14)*(LN('CB14'!$Y14)-($C$16*'CB14'!$Z14)),$F$14/SUM($C$14:$G$14)*(LN('CY14'!$U14)-($C$16*'CY14'!$V14)),$G$14/SUM($C$14:$G$14)*(LN('I14'!$L14)-($C$16*'I14'!$M14)))),EXP(SUM($C$14/SUM($C$14:$G$14)*(LN('ASK14'!$E14)-($C$16*'ASK14'!$F14)),$D$14/SUM($C$14:$G$14)*(LN(BSSA14!$S14)-($C$16*BSSA14!$T14)),$E$14/SUM($C$14:$G$14)*(LN('CB14'!$Y14)-($C$16*'CB14'!$Z14)),$F$14/SUM($C$14:$G$14)*(LN('CY14'!$U14)-($C$16*'CY14'!$V14)),$G$14/SUM($C$14:$G$14)*(LN('I14'!$L14)-($C$16*'I14'!$M14)))))))</f>
        <v>0.43453258645949228</v>
      </c>
      <c r="I31" s="96">
        <f t="shared" si="0"/>
        <v>1.2087474240090859</v>
      </c>
      <c r="J31" s="96">
        <f>DSF!$S30*Main!F31</f>
        <v>0.78065101150021943</v>
      </c>
      <c r="K31" s="96">
        <f>DSF!$S30*Main!G31</f>
        <v>1.3996639642304716</v>
      </c>
      <c r="L31" s="96">
        <f>DSF!$S30*Main!H31</f>
        <v>0.43540165163241124</v>
      </c>
      <c r="M31" s="96">
        <f>DSF!$S30*Main!I31</f>
        <v>1.2111649188571041</v>
      </c>
      <c r="N31" s="29"/>
      <c r="O31" s="29"/>
      <c r="P31" s="29"/>
      <c r="Q31" s="29"/>
      <c r="R31" s="29"/>
      <c r="S31" s="29"/>
      <c r="T31" s="29"/>
      <c r="U31" s="29"/>
      <c r="V31" s="29"/>
      <c r="W31" s="334"/>
      <c r="Z31" s="308" t="s">
        <v>338</v>
      </c>
      <c r="AA31" s="29" t="s">
        <v>378</v>
      </c>
      <c r="AB31" s="260">
        <f>IF(AND($D$14&lt;&gt;0,$C$63="Out of Range! Use 760 m/s"),1,0)</f>
        <v>0</v>
      </c>
    </row>
    <row r="32" spans="1:29" ht="16.149999999999999" x14ac:dyDescent="0.45">
      <c r="A32" s="334"/>
      <c r="B32" s="267" t="s">
        <v>208</v>
      </c>
      <c r="C32" s="278"/>
      <c r="D32" s="364"/>
      <c r="E32" s="291">
        <v>0.3</v>
      </c>
      <c r="F32" s="96">
        <f>IF($B$104=0,IF($AB$52=0,SUM($C$14/SUM($C$14:$G$14)*'ASK14'!$E15,$D$14/SUM($C$14:$G$14)*BSSA14!$S15,$E$14/SUM($C$14:$G$14)*'CB14'!$Y15,$F$14/SUM($C$14:$G$14)*'CY14'!$U15,$G$14/SUM($C$14:$G$14)*'I14'!$L15),SUM($C$14/SUM($C$14:$G$14)*'ASK14'!$E15,$D$14/SUM($C$14:$G$14)*BSSA14!$S15,$E$14/SUM($C$14:$G$14)*'CB14'!$Y15,$F$14/SUM($C$14:$G$14)*'CY14'!$U15,$G$14/SUM($C$14:$G$14)*'I14'!$L15)),IF($B$104=1,IF($AB$52=0,EXP(SUM($C$14/SUM($C$14:$G$14)*LN('ASK14'!$E15),$D$14/SUM($C$14:$G$14)*LN(BSSA14!$S15),$E$14/SUM($C$14:$G$14)*LN('CB14'!$Y15),$F$14/SUM($C$14:$G$14)*LN('CY14'!$U15),$G$14/SUM($C$14:$G$14)*LN('I14'!$L15))),EXP(SUM($C$14/SUM($C$14:$G$14)*LN('ASK14'!$E15),$D$14/SUM($C$14:$G$14)*LN(BSSA14!$S15),$E$14/SUM($C$14:$G$14)*LN('CB14'!$Y15),$F$14/SUM($C$14:$G$14)*LN('CY14'!$U15),$G$14/SUM($C$14:$G$14)*LN('I14'!$L15))))))</f>
        <v>0.79112507846065616</v>
      </c>
      <c r="G32" s="96">
        <f>IF($B$104=0,IF($AB$52=0,SUM($C$14/SUM($C$14:$G$14)*('ASK14'!$E15*EXP(Main!$C$16*'ASK14'!$F15)),$D$14/SUM($C$14:$G$14)*(BSSA14!$S15*EXP(Main!$C$16*BSSA14!$T15)),$E$14/SUM($C$14:$G$14)*('CB14'!$Y15*EXP(Main!$C$16*'CB14'!$Z15)),$F$14/SUM($C$14:$G$14)*('CY14'!$U15*EXP(Main!$C$16*'CY14'!$V15)),$G$14/SUM($C$14:$G$14)*('I14'!$L15*EXP(Main!$C$16*'I14'!$M15))),SUM($C$14/SUM($C$14:$G$14)*('ASK14'!$E15*EXP(Main!$C$16*'ASK14'!$F15)),$D$14/SUM($C$14:$G$14)*(BSSA14!$S15*EXP(Main!$C$16*BSSA14!$T15)),$E$14/SUM($C$14:$G$14)*('CB14'!$Y15*EXP(Main!$C$16*'CB14'!$Z15)),$F$14/SUM($C$14:$G$14)*('CY14'!$U15*EXP(Main!$C$16*'CY14'!$V15)),$G$14/SUM($C$14:$G$14)*('I14'!$L15*EXP(Main!$C$16*'I14'!$M15)))),IF($B$104=1,IF($AB$52=0,EXP(SUM($C$14/SUM($C$14:$G$14)*(LN('ASK14'!$E15)+($C$16*'ASK14'!$F15)),$D$14/SUM($C$14:$G$14)*(LN(BSSA14!$S15)+($C$16*BSSA14!$T15)),$E$14/SUM($C$14:$G$14)*(LN('CB14'!$Y15)+($C$16*'CB14'!$Z15)),$F$14/SUM($C$14:$G$14)*(LN('CY14'!$U15)+($C$16*'CY14'!$V15)),$G$14/SUM($C$14:$G$14)*(LN('I14'!$L15)+($C$16*'I14'!$M15)))),EXP(SUM($C$14/SUM($C$14:$G$14)*(LN('ASK14'!$E15)+($C$16*'ASK14'!$F15)),$D$14/SUM($C$14:$G$14)*(LN(BSSA14!$S15)+($C$16*BSSA14!$T15)),$E$14/SUM($C$14:$G$14)*(LN('CB14'!$Y15)+($C$16*'CB14'!$Z15)),$F$14/SUM($C$14:$G$14)*(LN('CY14'!$U15)+($C$16*'CY14'!$V15)),$G$14/SUM($C$14:$G$14)*(LN('I14'!$L15)+($C$16*'I14'!$M15)))))))</f>
        <v>1.4466374544903666</v>
      </c>
      <c r="H32" s="96">
        <f>IF($B$104=0,IF($AB$52=0,SUM($C$14/SUM($C$14:$G$14)*('ASK14'!$E15*EXP(-Main!$C$16*'ASK14'!$F15)),$D$14/SUM($C$14:$G$14)*(BSSA14!$S15*EXP(-Main!$C$16*BSSA14!$T15)),$E$14/SUM($C$14:$G$14)*('CB14'!$Y15*EXP(-Main!$C$16*'CB14'!$Z15)),$F$14/SUM($C$14:$G$14)*('CY14'!$U15*EXP(-Main!$C$16*'CY14'!$V15)),$G$14/SUM($C$14:$G$14)*('I14'!$L15*EXP(-Main!$C$16*'I14'!$M15))),SUM($C$14/SUM($C$14:$G$14)*('ASK14'!$E15*EXP(-Main!$C$16*'ASK14'!$F15)),$D$14/SUM($C$14:$G$14)*(BSSA14!$S15*EXP(-Main!$C$16*BSSA14!$T15)),$E$14/SUM($C$14:$G$14)*('CB14'!$Y15*EXP(-Main!$C$16*'CB14'!$Z15)),$F$14/SUM($C$14:$G$14)*('CY14'!$U15*EXP(-Main!$C$16*'CY14'!$V15)),$G$14/SUM($C$14:$G$14)*('I14'!$L15*EXP(-Main!$C$16*'I14'!$M15)))),IF($B$104=1,IF($AB$52=0,EXP(SUM($C$14/SUM($C$14:$G$14)*(LN('ASK14'!$E15)-($C$16*'ASK14'!$F15)),$D$14/SUM($C$14:$G$14)*(LN(BSSA14!$S15)-($C$16*BSSA14!$T15)),$E$14/SUM($C$14:$G$14)*(LN('CB14'!$Y15)-($C$16*'CB14'!$Z15)),$F$14/SUM($C$14:$G$14)*(LN('CY14'!$U15)-($C$16*'CY14'!$V15)),$G$14/SUM($C$14:$G$14)*(LN('I14'!$L15)-($C$16*'I14'!$M15)))),EXP(SUM($C$14/SUM($C$14:$G$14)*(LN('ASK14'!$E15)-($C$16*'ASK14'!$F15)),$D$14/SUM($C$14:$G$14)*(LN(BSSA14!$S15)-($C$16*BSSA14!$T15)),$E$14/SUM($C$14:$G$14)*(LN('CB14'!$Y15)-($C$16*'CB14'!$Z15)),$F$14/SUM($C$14:$G$14)*(LN('CY14'!$U15)-($C$16*'CY14'!$V15)),$G$14/SUM($C$14:$G$14)*(LN('I14'!$L15)-($C$16*'I14'!$M15)))))))</f>
        <v>0.43264391352971648</v>
      </c>
      <c r="I32" s="96">
        <f t="shared" si="0"/>
        <v>1.7674779323609007</v>
      </c>
      <c r="J32" s="96">
        <f>DSF!$S31*Main!F32</f>
        <v>0.79270732861757742</v>
      </c>
      <c r="K32" s="96">
        <f>DSF!$S31*Main!G32</f>
        <v>1.4495307293993474</v>
      </c>
      <c r="L32" s="96">
        <f>DSF!$S31*Main!H32</f>
        <v>0.4335092013567759</v>
      </c>
      <c r="M32" s="96">
        <f>DSF!$S31*Main!I32</f>
        <v>1.7710128882256224</v>
      </c>
      <c r="N32" s="29"/>
      <c r="O32" s="29"/>
      <c r="P32" s="29"/>
      <c r="Q32" s="29"/>
      <c r="R32" s="29"/>
      <c r="S32" s="29"/>
      <c r="T32" s="29"/>
      <c r="U32" s="29"/>
      <c r="V32" s="29"/>
      <c r="W32" s="334"/>
      <c r="Y32" s="309" t="s">
        <v>296</v>
      </c>
      <c r="Z32" s="207" t="s">
        <v>345</v>
      </c>
      <c r="AA32" s="29" t="s">
        <v>357</v>
      </c>
      <c r="AB32" s="260">
        <f>IF(AND($E$14&lt;&gt;0,$C$24="! Not Applicable !"),1,0)</f>
        <v>0</v>
      </c>
      <c r="AC32">
        <f>SUM(AB32:AB40)</f>
        <v>0</v>
      </c>
    </row>
    <row r="33" spans="1:29" x14ac:dyDescent="0.45">
      <c r="A33" s="334"/>
      <c r="B33" s="196">
        <v>15.08</v>
      </c>
      <c r="C33" s="278"/>
      <c r="D33" s="364"/>
      <c r="E33" s="291">
        <v>0.4</v>
      </c>
      <c r="F33" s="96">
        <f>IF($B$104=0,IF($AB$52=0,SUM($C$14/SUM($C$14:$G$14)*'ASK14'!$E16,$D$14/SUM($C$14:$G$14)*BSSA14!$S16,$E$14/SUM($C$14:$G$14)*'CB14'!$Y16,$F$14/SUM($C$14:$G$14)*'CY14'!$U16,$G$14/SUM($C$14:$G$14)*'I14'!$L16),SUM($C$14/SUM($C$14:$G$14)*'ASK14'!$E16,$D$14/SUM($C$14:$G$14)*BSSA14!$S16,$E$14/SUM($C$14:$G$14)*'CB14'!$Y16,$F$14/SUM($C$14:$G$14)*'CY14'!$U16,$G$14/SUM($C$14:$G$14)*'I14'!$L16)),IF($B$104=1,IF($AB$52=0,EXP(SUM($C$14/SUM($C$14:$G$14)*LN('ASK14'!$E16),$D$14/SUM($C$14:$G$14)*LN(BSSA14!$S16),$E$14/SUM($C$14:$G$14)*LN('CB14'!$Y16),$F$14/SUM($C$14:$G$14)*LN('CY14'!$U16),$G$14/SUM($C$14:$G$14)*LN('I14'!$L16))),EXP(SUM($C$14/SUM($C$14:$G$14)*LN('ASK14'!$E16),$D$14/SUM($C$14:$G$14)*LN(BSSA14!$S16),$E$14/SUM($C$14:$G$14)*LN('CB14'!$Y16),$F$14/SUM($C$14:$G$14)*LN('CY14'!$U16),$G$14/SUM($C$14:$G$14)*LN('I14'!$L16))))))</f>
        <v>0.76422520274269845</v>
      </c>
      <c r="G33" s="96">
        <f>IF($B$104=0,IF($AB$52=0,SUM($C$14/SUM($C$14:$G$14)*('ASK14'!$E16*EXP(Main!$C$16*'ASK14'!$F16)),$D$14/SUM($C$14:$G$14)*(BSSA14!$S16*EXP(Main!$C$16*BSSA14!$T16)),$E$14/SUM($C$14:$G$14)*('CB14'!$Y16*EXP(Main!$C$16*'CB14'!$Z16)),$F$14/SUM($C$14:$G$14)*('CY14'!$U16*EXP(Main!$C$16*'CY14'!$V16)),$G$14/SUM($C$14:$G$14)*('I14'!$L16*EXP(Main!$C$16*'I14'!$M16))),SUM($C$14/SUM($C$14:$G$14)*('ASK14'!$E16*EXP(Main!$C$16*'ASK14'!$F16)),$D$14/SUM($C$14:$G$14)*(BSSA14!$S16*EXP(Main!$C$16*BSSA14!$T16)),$E$14/SUM($C$14:$G$14)*('CB14'!$Y16*EXP(Main!$C$16*'CB14'!$Z16)),$F$14/SUM($C$14:$G$14)*('CY14'!$U16*EXP(Main!$C$16*'CY14'!$V16)),$G$14/SUM($C$14:$G$14)*('I14'!$L16*EXP(Main!$C$16*'I14'!$M16)))),IF($B$104=1,IF($AB$52=0,EXP(SUM($C$14/SUM($C$14:$G$14)*(LN('ASK14'!$E16)+($C$16*'ASK14'!$F16)),$D$14/SUM($C$14:$G$14)*(LN(BSSA14!$S16)+($C$16*BSSA14!$T16)),$E$14/SUM($C$14:$G$14)*(LN('CB14'!$Y16)+($C$16*'CB14'!$Z16)),$F$14/SUM($C$14:$G$14)*(LN('CY14'!$U16)+($C$16*'CY14'!$V16)),$G$14/SUM($C$14:$G$14)*(LN('I14'!$L16)+($C$16*'I14'!$M16)))),EXP(SUM($C$14/SUM($C$14:$G$14)*(LN('ASK14'!$E16)+($C$16*'ASK14'!$F16)),$D$14/SUM($C$14:$G$14)*(LN(BSSA14!$S16)+($C$16*BSSA14!$T16)),$E$14/SUM($C$14:$G$14)*(LN('CB14'!$Y16)+($C$16*'CB14'!$Z16)),$F$14/SUM($C$14:$G$14)*(LN('CY14'!$U16)+($C$16*'CY14'!$V16)),$G$14/SUM($C$14:$G$14)*(LN('I14'!$L16)+($C$16*'I14'!$M16)))))))</f>
        <v>1.4376893966658608</v>
      </c>
      <c r="H33" s="96">
        <f>IF($B$104=0,IF($AB$52=0,SUM($C$14/SUM($C$14:$G$14)*('ASK14'!$E16*EXP(-Main!$C$16*'ASK14'!$F16)),$D$14/SUM($C$14:$G$14)*(BSSA14!$S16*EXP(-Main!$C$16*BSSA14!$T16)),$E$14/SUM($C$14:$G$14)*('CB14'!$Y16*EXP(-Main!$C$16*'CB14'!$Z16)),$F$14/SUM($C$14:$G$14)*('CY14'!$U16*EXP(-Main!$C$16*'CY14'!$V16)),$G$14/SUM($C$14:$G$14)*('I14'!$L16*EXP(-Main!$C$16*'I14'!$M16))),SUM($C$14/SUM($C$14:$G$14)*('ASK14'!$E16*EXP(-Main!$C$16*'ASK14'!$F16)),$D$14/SUM($C$14:$G$14)*(BSSA14!$S16*EXP(-Main!$C$16*BSSA14!$T16)),$E$14/SUM($C$14:$G$14)*('CB14'!$Y16*EXP(-Main!$C$16*'CB14'!$Z16)),$F$14/SUM($C$14:$G$14)*('CY14'!$U16*EXP(-Main!$C$16*'CY14'!$V16)),$G$14/SUM($C$14:$G$14)*('I14'!$L16*EXP(-Main!$C$16*'I14'!$M16)))),IF($B$104=1,IF($AB$52=0,EXP(SUM($C$14/SUM($C$14:$G$14)*(LN('ASK14'!$E16)-($C$16*'ASK14'!$F16)),$D$14/SUM($C$14:$G$14)*(LN(BSSA14!$S16)-($C$16*BSSA14!$T16)),$E$14/SUM($C$14:$G$14)*(LN('CB14'!$Y16)-($C$16*'CB14'!$Z16)),$F$14/SUM($C$14:$G$14)*(LN('CY14'!$U16)-($C$16*'CY14'!$V16)),$G$14/SUM($C$14:$G$14)*(LN('I14'!$L16)-($C$16*'I14'!$M16)))),EXP(SUM($C$14/SUM($C$14:$G$14)*(LN('ASK14'!$E16)-($C$16*'ASK14'!$F16)),$D$14/SUM($C$14:$G$14)*(LN(BSSA14!$S16)-($C$16*BSSA14!$T16)),$E$14/SUM($C$14:$G$14)*(LN('CB14'!$Y16)-($C$16*'CB14'!$Z16)),$F$14/SUM($C$14:$G$14)*(LN('CY14'!$U16)-($C$16*'CY14'!$V16)),$G$14/SUM($C$14:$G$14)*(LN('I14'!$L16)-($C$16*'I14'!$M16)))))))</f>
        <v>0.4062352841034812</v>
      </c>
      <c r="I33" s="96">
        <f t="shared" si="0"/>
        <v>3.0353423227588743</v>
      </c>
      <c r="J33" s="96">
        <f>DSF!$S32*Main!F33</f>
        <v>0.76575365314818389</v>
      </c>
      <c r="K33" s="96">
        <f>DSF!$S32*Main!G33</f>
        <v>1.4405647754591926</v>
      </c>
      <c r="L33" s="96">
        <f>DSF!$S32*Main!H33</f>
        <v>0.40704775467168813</v>
      </c>
      <c r="M33" s="96">
        <f>DSF!$S32*Main!I33</f>
        <v>3.0414130074043921</v>
      </c>
      <c r="N33" s="29"/>
      <c r="O33" s="29"/>
      <c r="P33" s="29"/>
      <c r="Q33" s="29"/>
      <c r="R33" s="29"/>
      <c r="S33" s="29"/>
      <c r="T33" s="29"/>
      <c r="U33" s="29"/>
      <c r="V33" s="29"/>
      <c r="W33" s="334"/>
      <c r="Y33" s="111"/>
      <c r="Z33" s="308" t="s">
        <v>346</v>
      </c>
      <c r="AA33" s="29" t="s">
        <v>356</v>
      </c>
      <c r="AB33" s="260">
        <f>IF(AND($E$14&lt;&gt;0,$C$24="! Not Applicable !"),1,0)</f>
        <v>0</v>
      </c>
    </row>
    <row r="34" spans="1:29" x14ac:dyDescent="0.45">
      <c r="A34" s="334"/>
      <c r="B34" s="179"/>
      <c r="C34" s="278"/>
      <c r="D34" s="364"/>
      <c r="E34" s="291">
        <v>0.5</v>
      </c>
      <c r="F34" s="96">
        <f>IF($B$104=0,IF($AB$52=0,SUM($C$14/SUM($C$14:$G$14)*'ASK14'!$E17,$D$14/SUM($C$14:$G$14)*BSSA14!$S17,$E$14/SUM($C$14:$G$14)*'CB14'!$Y17,$F$14/SUM($C$14:$G$14)*'CY14'!$U17,$G$14/SUM($C$14:$G$14)*'I14'!$L17),SUM($C$14/SUM($C$14:$G$14)*'ASK14'!$E17,$D$14/SUM($C$14:$G$14)*BSSA14!$S17,$E$14/SUM($C$14:$G$14)*'CB14'!$Y17,$F$14/SUM($C$14:$G$14)*'CY14'!$U17,$G$14/SUM($C$14:$G$14)*'I14'!$L17)),IF($B$104=1,IF($AB$52=0,EXP(SUM($C$14/SUM($C$14:$G$14)*LN('ASK14'!$E17),$D$14/SUM($C$14:$G$14)*LN(BSSA14!$S17),$E$14/SUM($C$14:$G$14)*LN('CB14'!$Y17),$F$14/SUM($C$14:$G$14)*LN('CY14'!$U17),$G$14/SUM($C$14:$G$14)*LN('I14'!$L17))),EXP(SUM($C$14/SUM($C$14:$G$14)*LN('ASK14'!$E17),$D$14/SUM($C$14:$G$14)*LN(BSSA14!$S17),$E$14/SUM($C$14:$G$14)*LN('CB14'!$Y17),$F$14/SUM($C$14:$G$14)*LN('CY14'!$U17),$G$14/SUM($C$14:$G$14)*LN('I14'!$L17))))))</f>
        <v>0.70920886911458825</v>
      </c>
      <c r="G34" s="96">
        <f>IF($B$104=0,IF($AB$52=0,SUM($C$14/SUM($C$14:$G$14)*('ASK14'!$E17*EXP(Main!$C$16*'ASK14'!$F17)),$D$14/SUM($C$14:$G$14)*(BSSA14!$S17*EXP(Main!$C$16*BSSA14!$T17)),$E$14/SUM($C$14:$G$14)*('CB14'!$Y17*EXP(Main!$C$16*'CB14'!$Z17)),$F$14/SUM($C$14:$G$14)*('CY14'!$U17*EXP(Main!$C$16*'CY14'!$V17)),$G$14/SUM($C$14:$G$14)*('I14'!$L17*EXP(Main!$C$16*'I14'!$M17))),SUM($C$14/SUM($C$14:$G$14)*('ASK14'!$E17*EXP(Main!$C$16*'ASK14'!$F17)),$D$14/SUM($C$14:$G$14)*(BSSA14!$S17*EXP(Main!$C$16*BSSA14!$T17)),$E$14/SUM($C$14:$G$14)*('CB14'!$Y17*EXP(Main!$C$16*'CB14'!$Z17)),$F$14/SUM($C$14:$G$14)*('CY14'!$U17*EXP(Main!$C$16*'CY14'!$V17)),$G$14/SUM($C$14:$G$14)*('I14'!$L17*EXP(Main!$C$16*'I14'!$M17)))),IF($B$104=1,IF($AB$52=0,EXP(SUM($C$14/SUM($C$14:$G$14)*(LN('ASK14'!$E17)+($C$16*'ASK14'!$F17)),$D$14/SUM($C$14:$G$14)*(LN(BSSA14!$S17)+($C$16*BSSA14!$T17)),$E$14/SUM($C$14:$G$14)*(LN('CB14'!$Y17)+($C$16*'CB14'!$Z17)),$F$14/SUM($C$14:$G$14)*(LN('CY14'!$U17)+($C$16*'CY14'!$V17)),$G$14/SUM($C$14:$G$14)*(LN('I14'!$L17)+($C$16*'I14'!$M17)))),EXP(SUM($C$14/SUM($C$14:$G$14)*(LN('ASK14'!$E17)+($C$16*'ASK14'!$F17)),$D$14/SUM($C$14:$G$14)*(LN(BSSA14!$S17)+($C$16*BSSA14!$T17)),$E$14/SUM($C$14:$G$14)*(LN('CB14'!$Y17)+($C$16*'CB14'!$Z17)),$F$14/SUM($C$14:$G$14)*(LN('CY14'!$U17)+($C$16*'CY14'!$V17)),$G$14/SUM($C$14:$G$14)*(LN('I14'!$L17)+($C$16*'I14'!$M17)))))))</f>
        <v>1.3602739250705465</v>
      </c>
      <c r="H34" s="96">
        <f>IF($B$104=0,IF($AB$52=0,SUM($C$14/SUM($C$14:$G$14)*('ASK14'!$E17*EXP(-Main!$C$16*'ASK14'!$F17)),$D$14/SUM($C$14:$G$14)*(BSSA14!$S17*EXP(-Main!$C$16*BSSA14!$T17)),$E$14/SUM($C$14:$G$14)*('CB14'!$Y17*EXP(-Main!$C$16*'CB14'!$Z17)),$F$14/SUM($C$14:$G$14)*('CY14'!$U17*EXP(-Main!$C$16*'CY14'!$V17)),$G$14/SUM($C$14:$G$14)*('I14'!$L17*EXP(-Main!$C$16*'I14'!$M17))),SUM($C$14/SUM($C$14:$G$14)*('ASK14'!$E17*EXP(-Main!$C$16*'ASK14'!$F17)),$D$14/SUM($C$14:$G$14)*(BSSA14!$S17*EXP(-Main!$C$16*BSSA14!$T17)),$E$14/SUM($C$14:$G$14)*('CB14'!$Y17*EXP(-Main!$C$16*'CB14'!$Z17)),$F$14/SUM($C$14:$G$14)*('CY14'!$U17*EXP(-Main!$C$16*'CY14'!$V17)),$G$14/SUM($C$14:$G$14)*('I14'!$L17*EXP(-Main!$C$16*'I14'!$M17)))),IF($B$104=1,IF($AB$52=0,EXP(SUM($C$14/SUM($C$14:$G$14)*(LN('ASK14'!$E17)-($C$16*'ASK14'!$F17)),$D$14/SUM($C$14:$G$14)*(LN(BSSA14!$S17)-($C$16*BSSA14!$T17)),$E$14/SUM($C$14:$G$14)*(LN('CB14'!$Y17)-($C$16*'CB14'!$Z17)),$F$14/SUM($C$14:$G$14)*(LN('CY14'!$U17)-($C$16*'CY14'!$V17)),$G$14/SUM($C$14:$G$14)*(LN('I14'!$L17)-($C$16*'I14'!$M17)))),EXP(SUM($C$14/SUM($C$14:$G$14)*(LN('ASK14'!$E17)-($C$16*'ASK14'!$F17)),$D$14/SUM($C$14:$G$14)*(LN(BSSA14!$S17)-($C$16*BSSA14!$T17)),$E$14/SUM($C$14:$G$14)*(LN('CB14'!$Y17)-($C$16*'CB14'!$Z17)),$F$14/SUM($C$14:$G$14)*(LN('CY14'!$U17)-($C$16*'CY14'!$V17)),$G$14/SUM($C$14:$G$14)*(LN('I14'!$L17)-($C$16*'I14'!$M17)))))))</f>
        <v>0.36976171546088243</v>
      </c>
      <c r="I34" s="96">
        <f t="shared" si="0"/>
        <v>4.4012952766854507</v>
      </c>
      <c r="J34" s="96">
        <f>DSF!$S33*Main!F34</f>
        <v>0.70991807798370277</v>
      </c>
      <c r="K34" s="96">
        <f>DSF!$S33*Main!G34</f>
        <v>1.3616341989956169</v>
      </c>
      <c r="L34" s="96">
        <f>DSF!$S33*Main!H34</f>
        <v>0.37013147717634326</v>
      </c>
      <c r="M34" s="96">
        <f>DSF!$S33*Main!I34</f>
        <v>4.4056965719621353</v>
      </c>
      <c r="N34" s="29"/>
      <c r="O34" s="29"/>
      <c r="P34" s="29"/>
      <c r="Q34" s="29"/>
      <c r="R34" s="29"/>
      <c r="S34" s="29"/>
      <c r="T34" s="29"/>
      <c r="U34" s="29"/>
      <c r="V34" s="29"/>
      <c r="W34" s="334"/>
      <c r="Z34" s="308" t="s">
        <v>347</v>
      </c>
      <c r="AA34" s="29" t="s">
        <v>355</v>
      </c>
      <c r="AB34" s="260">
        <f>IF(AND($E$14&lt;&gt;0,$C$24="! Not Applicable !"),1,0)</f>
        <v>0</v>
      </c>
    </row>
    <row r="35" spans="1:29" ht="16.149999999999999" x14ac:dyDescent="0.45">
      <c r="A35" s="334"/>
      <c r="B35" s="267" t="s">
        <v>799</v>
      </c>
      <c r="C35" s="280" t="s">
        <v>279</v>
      </c>
      <c r="D35" s="364"/>
      <c r="E35" s="291">
        <v>0.75</v>
      </c>
      <c r="F35" s="96">
        <f>IF($B$104=0,IF($AB$52=0,SUM($C$14/SUM($C$14:$G$14)*'ASK14'!$E18,$D$14/SUM($C$14:$G$14)*BSSA14!$S18,$E$14/SUM($C$14:$G$14)*'CB14'!$Y18,$F$14/SUM($C$14:$G$14)*'CY14'!$U18,$G$14/SUM($C$14:$G$14)*'I14'!$L18),SUM($C$14/SUM($C$14:$G$14)*'ASK14'!$E18,$D$14/SUM($C$14:$G$14)*BSSA14!$S18,$E$14/SUM($C$14:$G$14)*'CB14'!$Y18,$F$14/SUM($C$14:$G$14)*'CY14'!$U18,$G$14/SUM($C$14:$G$14)*'I14'!$L18)),IF($B$104=1,IF($AB$52=0,EXP(SUM($C$14/SUM($C$14:$G$14)*LN('ASK14'!$E18),$D$14/SUM($C$14:$G$14)*LN(BSSA14!$S18),$E$14/SUM($C$14:$G$14)*LN('CB14'!$Y18),$F$14/SUM($C$14:$G$14)*LN('CY14'!$U18),$G$14/SUM($C$14:$G$14)*LN('I14'!$L18))),EXP(SUM($C$14/SUM($C$14:$G$14)*LN('ASK14'!$E18),$D$14/SUM($C$14:$G$14)*LN(BSSA14!$S18),$E$14/SUM($C$14:$G$14)*LN('CB14'!$Y18),$F$14/SUM($C$14:$G$14)*LN('CY14'!$U18),$G$14/SUM($C$14:$G$14)*LN('I14'!$L18))))))</f>
        <v>0.55123812329282629</v>
      </c>
      <c r="G35" s="96">
        <f>IF($B$104=0,IF($AB$52=0,SUM($C$14/SUM($C$14:$G$14)*('ASK14'!$E18*EXP(Main!$C$16*'ASK14'!$F18)),$D$14/SUM($C$14:$G$14)*(BSSA14!$S18*EXP(Main!$C$16*BSSA14!$T18)),$E$14/SUM($C$14:$G$14)*('CB14'!$Y18*EXP(Main!$C$16*'CB14'!$Z18)),$F$14/SUM($C$14:$G$14)*('CY14'!$U18*EXP(Main!$C$16*'CY14'!$V18)),$G$14/SUM($C$14:$G$14)*('I14'!$L18*EXP(Main!$C$16*'I14'!$M18))),SUM($C$14/SUM($C$14:$G$14)*('ASK14'!$E18*EXP(Main!$C$16*'ASK14'!$F18)),$D$14/SUM($C$14:$G$14)*(BSSA14!$S18*EXP(Main!$C$16*BSSA14!$T18)),$E$14/SUM($C$14:$G$14)*('CB14'!$Y18*EXP(Main!$C$16*'CB14'!$Z18)),$F$14/SUM($C$14:$G$14)*('CY14'!$U18*EXP(Main!$C$16*'CY14'!$V18)),$G$14/SUM($C$14:$G$14)*('I14'!$L18*EXP(Main!$C$16*'I14'!$M18)))),IF($B$104=1,IF($AB$52=0,EXP(SUM($C$14/SUM($C$14:$G$14)*(LN('ASK14'!$E18)+($C$16*'ASK14'!$F18)),$D$14/SUM($C$14:$G$14)*(LN(BSSA14!$S18)+($C$16*BSSA14!$T18)),$E$14/SUM($C$14:$G$14)*(LN('CB14'!$Y18)+($C$16*'CB14'!$Z18)),$F$14/SUM($C$14:$G$14)*(LN('CY14'!$U18)+($C$16*'CY14'!$V18)),$G$14/SUM($C$14:$G$14)*(LN('I14'!$L18)+($C$16*'I14'!$M18)))),EXP(SUM($C$14/SUM($C$14:$G$14)*(LN('ASK14'!$E18)+($C$16*'ASK14'!$F18)),$D$14/SUM($C$14:$G$14)*(LN(BSSA14!$S18)+($C$16*BSSA14!$T18)),$E$14/SUM($C$14:$G$14)*(LN('CB14'!$Y18)+($C$16*'CB14'!$Z18)),$F$14/SUM($C$14:$G$14)*(LN('CY14'!$U18)+($C$16*'CY14'!$V18)),$G$14/SUM($C$14:$G$14)*(LN('I14'!$L18)+($C$16*'I14'!$M18)))))))</f>
        <v>1.0947382954846796</v>
      </c>
      <c r="H35" s="96">
        <f>IF($B$104=0,IF($AB$52=0,SUM($C$14/SUM($C$14:$G$14)*('ASK14'!$E18*EXP(-Main!$C$16*'ASK14'!$F18)),$D$14/SUM($C$14:$G$14)*(BSSA14!$S18*EXP(-Main!$C$16*BSSA14!$T18)),$E$14/SUM($C$14:$G$14)*('CB14'!$Y18*EXP(-Main!$C$16*'CB14'!$Z18)),$F$14/SUM($C$14:$G$14)*('CY14'!$U18*EXP(-Main!$C$16*'CY14'!$V18)),$G$14/SUM($C$14:$G$14)*('I14'!$L18*EXP(-Main!$C$16*'I14'!$M18))),SUM($C$14/SUM($C$14:$G$14)*('ASK14'!$E18*EXP(-Main!$C$16*'ASK14'!$F18)),$D$14/SUM($C$14:$G$14)*(BSSA14!$S18*EXP(-Main!$C$16*BSSA14!$T18)),$E$14/SUM($C$14:$G$14)*('CB14'!$Y18*EXP(-Main!$C$16*'CB14'!$Z18)),$F$14/SUM($C$14:$G$14)*('CY14'!$U18*EXP(-Main!$C$16*'CY14'!$V18)),$G$14/SUM($C$14:$G$14)*('I14'!$L18*EXP(-Main!$C$16*'I14'!$M18)))),IF($B$104=1,IF($AB$52=0,EXP(SUM($C$14/SUM($C$14:$G$14)*(LN('ASK14'!$E18)-($C$16*'ASK14'!$F18)),$D$14/SUM($C$14:$G$14)*(LN(BSSA14!$S18)-($C$16*BSSA14!$T18)),$E$14/SUM($C$14:$G$14)*(LN('CB14'!$Y18)-($C$16*'CB14'!$Z18)),$F$14/SUM($C$14:$G$14)*(LN('CY14'!$U18)-($C$16*'CY14'!$V18)),$G$14/SUM($C$14:$G$14)*(LN('I14'!$L18)-($C$16*'I14'!$M18)))),EXP(SUM($C$14/SUM($C$14:$G$14)*(LN('ASK14'!$E18)-($C$16*'ASK14'!$F18)),$D$14/SUM($C$14:$G$14)*(LN(BSSA14!$S18)-($C$16*BSSA14!$T18)),$E$14/SUM($C$14:$G$14)*(LN('CB14'!$Y18)-($C$16*'CB14'!$Z18)),$F$14/SUM($C$14:$G$14)*(LN('CY14'!$U18)-($C$16*'CY14'!$V18)),$G$14/SUM($C$14:$G$14)*(LN('I14'!$L18)-($C$16*'I14'!$M18)))))))</f>
        <v>0.27756722298352232</v>
      </c>
      <c r="I35" s="96">
        <f t="shared" si="0"/>
        <v>7.6971174100866406</v>
      </c>
      <c r="J35" s="96">
        <f>DSF!$S34*Main!F35</f>
        <v>0.55123812329282629</v>
      </c>
      <c r="K35" s="96">
        <f>DSF!$S34*Main!G35</f>
        <v>1.0947382954846796</v>
      </c>
      <c r="L35" s="96">
        <f>DSF!$S34*Main!H35</f>
        <v>0.27756722298352232</v>
      </c>
      <c r="M35" s="96">
        <f>DSF!$S34*Main!I35</f>
        <v>7.6971174100866406</v>
      </c>
      <c r="N35" s="29"/>
      <c r="O35" s="29"/>
      <c r="P35" s="29"/>
      <c r="Q35" s="29"/>
      <c r="R35" s="29"/>
      <c r="S35" s="29"/>
      <c r="T35" s="29"/>
      <c r="U35" s="29"/>
      <c r="V35" s="29"/>
      <c r="W35" s="334"/>
      <c r="Z35" s="308" t="s">
        <v>348</v>
      </c>
      <c r="AA35" s="29" t="s">
        <v>354</v>
      </c>
      <c r="AB35" s="260">
        <f>IF(AND($E$14&lt;&gt;0,$C$27="! Not Applicable !"),1,0)</f>
        <v>0</v>
      </c>
    </row>
    <row r="36" spans="1:29" x14ac:dyDescent="0.45">
      <c r="A36" s="334"/>
      <c r="B36" s="196">
        <v>999</v>
      </c>
      <c r="C36" s="278" t="str">
        <f>IF(B36&lt;0,"Ry0 can only be zero or positive","")</f>
        <v/>
      </c>
      <c r="D36" s="364"/>
      <c r="E36" s="291">
        <v>1</v>
      </c>
      <c r="F36" s="96">
        <f>IF($B$104=0,IF($AB$52=0,SUM($C$14/SUM($C$14:$G$14)*'ASK14'!$E19,$D$14/SUM($C$14:$G$14)*BSSA14!$S19,$E$14/SUM($C$14:$G$14)*'CB14'!$Y19,$F$14/SUM($C$14:$G$14)*'CY14'!$U19,$G$14/SUM($C$14:$G$14)*'I14'!$L19),SUM($C$14/SUM($C$14:$G$14)*'ASK14'!$E19,$D$14/SUM($C$14:$G$14)*BSSA14!$S19,$E$14/SUM($C$14:$G$14)*'CB14'!$Y19,$F$14/SUM($C$14:$G$14)*'CY14'!$U19,$G$14/SUM($C$14:$G$14)*'I14'!$L19)),IF($B$104=1,IF($AB$52=0,EXP(SUM($C$14/SUM($C$14:$G$14)*LN('ASK14'!$E19),$D$14/SUM($C$14:$G$14)*LN(BSSA14!$S19),$E$14/SUM($C$14:$G$14)*LN('CB14'!$Y19),$F$14/SUM($C$14:$G$14)*LN('CY14'!$U19),$G$14/SUM($C$14:$G$14)*LN('I14'!$L19))),EXP(SUM($C$14/SUM($C$14:$G$14)*LN('ASK14'!$E19),$D$14/SUM($C$14:$G$14)*LN(BSSA14!$S19),$E$14/SUM($C$14:$G$14)*LN('CB14'!$Y19),$F$14/SUM($C$14:$G$14)*LN('CY14'!$U19),$G$14/SUM($C$14:$G$14)*LN('I14'!$L19))))))</f>
        <v>0.44888486114019466</v>
      </c>
      <c r="G36" s="96">
        <f>IF($B$104=0,IF($AB$52=0,SUM($C$14/SUM($C$14:$G$14)*('ASK14'!$E19*EXP(Main!$C$16*'ASK14'!$F19)),$D$14/SUM($C$14:$G$14)*(BSSA14!$S19*EXP(Main!$C$16*BSSA14!$T19)),$E$14/SUM($C$14:$G$14)*('CB14'!$Y19*EXP(Main!$C$16*'CB14'!$Z19)),$F$14/SUM($C$14:$G$14)*('CY14'!$U19*EXP(Main!$C$16*'CY14'!$V19)),$G$14/SUM($C$14:$G$14)*('I14'!$L19*EXP(Main!$C$16*'I14'!$M19))),SUM($C$14/SUM($C$14:$G$14)*('ASK14'!$E19*EXP(Main!$C$16*'ASK14'!$F19)),$D$14/SUM($C$14:$G$14)*(BSSA14!$S19*EXP(Main!$C$16*BSSA14!$T19)),$E$14/SUM($C$14:$G$14)*('CB14'!$Y19*EXP(Main!$C$16*'CB14'!$Z19)),$F$14/SUM($C$14:$G$14)*('CY14'!$U19*EXP(Main!$C$16*'CY14'!$V19)),$G$14/SUM($C$14:$G$14)*('I14'!$L19*EXP(Main!$C$16*'I14'!$M19)))),IF($B$104=1,IF($AB$52=0,EXP(SUM($C$14/SUM($C$14:$G$14)*(LN('ASK14'!$E19)+($C$16*'ASK14'!$F19)),$D$14/SUM($C$14:$G$14)*(LN(BSSA14!$S19)+($C$16*BSSA14!$T19)),$E$14/SUM($C$14:$G$14)*(LN('CB14'!$Y19)+($C$16*'CB14'!$Z19)),$F$14/SUM($C$14:$G$14)*(LN('CY14'!$U19)+($C$16*'CY14'!$V19)),$G$14/SUM($C$14:$G$14)*(LN('I14'!$L19)+($C$16*'I14'!$M19)))),EXP(SUM($C$14/SUM($C$14:$G$14)*(LN('ASK14'!$E19)+($C$16*'ASK14'!$F19)),$D$14/SUM($C$14:$G$14)*(LN(BSSA14!$S19)+($C$16*BSSA14!$T19)),$E$14/SUM($C$14:$G$14)*(LN('CB14'!$Y19)+($C$16*'CB14'!$Z19)),$F$14/SUM($C$14:$G$14)*(LN('CY14'!$U19)+($C$16*'CY14'!$V19)),$G$14/SUM($C$14:$G$14)*(LN('I14'!$L19)+($C$16*'I14'!$M19)))))))</f>
        <v>0.90409672788896145</v>
      </c>
      <c r="H36" s="96">
        <f>IF($B$104=0,IF($AB$52=0,SUM($C$14/SUM($C$14:$G$14)*('ASK14'!$E19*EXP(-Main!$C$16*'ASK14'!$F19)),$D$14/SUM($C$14:$G$14)*(BSSA14!$S19*EXP(-Main!$C$16*BSSA14!$T19)),$E$14/SUM($C$14:$G$14)*('CB14'!$Y19*EXP(-Main!$C$16*'CB14'!$Z19)),$F$14/SUM($C$14:$G$14)*('CY14'!$U19*EXP(-Main!$C$16*'CY14'!$V19)),$G$14/SUM($C$14:$G$14)*('I14'!$L19*EXP(-Main!$C$16*'I14'!$M19))),SUM($C$14/SUM($C$14:$G$14)*('ASK14'!$E19*EXP(-Main!$C$16*'ASK14'!$F19)),$D$14/SUM($C$14:$G$14)*(BSSA14!$S19*EXP(-Main!$C$16*BSSA14!$T19)),$E$14/SUM($C$14:$G$14)*('CB14'!$Y19*EXP(-Main!$C$16*'CB14'!$Z19)),$F$14/SUM($C$14:$G$14)*('CY14'!$U19*EXP(-Main!$C$16*'CY14'!$V19)),$G$14/SUM($C$14:$G$14)*('I14'!$L19*EXP(-Main!$C$16*'I14'!$M19)))),IF($B$104=1,IF($AB$52=0,EXP(SUM($C$14/SUM($C$14:$G$14)*(LN('ASK14'!$E19)-($C$16*'ASK14'!$F19)),$D$14/SUM($C$14:$G$14)*(LN(BSSA14!$S19)-($C$16*BSSA14!$T19)),$E$14/SUM($C$14:$G$14)*(LN('CB14'!$Y19)-($C$16*'CB14'!$Z19)),$F$14/SUM($C$14:$G$14)*(LN('CY14'!$U19)-($C$16*'CY14'!$V19)),$G$14/SUM($C$14:$G$14)*(LN('I14'!$L19)-($C$16*'I14'!$M19)))),EXP(SUM($C$14/SUM($C$14:$G$14)*(LN('ASK14'!$E19)-($C$16*'ASK14'!$F19)),$D$14/SUM($C$14:$G$14)*(LN(BSSA14!$S19)-($C$16*BSSA14!$T19)),$E$14/SUM($C$14:$G$14)*(LN('CB14'!$Y19)-($C$16*'CB14'!$Z19)),$F$14/SUM($C$14:$G$14)*(LN('CY14'!$U19)-($C$16*'CY14'!$V19)),$G$14/SUM($C$14:$G$14)*(LN('I14'!$L19)-($C$16*'I14'!$M19)))))))</f>
        <v>0.22287174850344016</v>
      </c>
      <c r="I36" s="96">
        <f t="shared" si="0"/>
        <v>11.142978635213485</v>
      </c>
      <c r="J36" s="96">
        <f>DSF!$S35*Main!F36</f>
        <v>0.44888486114019466</v>
      </c>
      <c r="K36" s="96">
        <f>DSF!$S35*Main!G36</f>
        <v>0.90409672788896145</v>
      </c>
      <c r="L36" s="96">
        <f>DSF!$S35*Main!H36</f>
        <v>0.22287174850344016</v>
      </c>
      <c r="M36" s="96">
        <f>DSF!$S35*Main!I36</f>
        <v>11.142978635213485</v>
      </c>
      <c r="N36" s="29"/>
      <c r="O36" s="29"/>
      <c r="P36" s="29"/>
      <c r="Q36" s="29"/>
      <c r="R36" s="29"/>
      <c r="S36" s="29"/>
      <c r="T36" s="29"/>
      <c r="U36" s="29"/>
      <c r="V36" s="29"/>
      <c r="W36" s="334"/>
      <c r="Z36" s="308" t="s">
        <v>293</v>
      </c>
      <c r="AA36" s="29" t="s">
        <v>351</v>
      </c>
      <c r="AB36" s="260">
        <f>IF(AND($E$14&lt;&gt;0,$C$39="Out of Range! Use 760 m/s"),1,0)</f>
        <v>0</v>
      </c>
    </row>
    <row r="37" spans="1:29" x14ac:dyDescent="0.45">
      <c r="A37" s="334"/>
      <c r="B37" s="178"/>
      <c r="C37" s="278"/>
      <c r="D37" s="364"/>
      <c r="E37" s="291">
        <v>1.5</v>
      </c>
      <c r="F37" s="96">
        <f>IF($B$104=0,IF($AB$52=0,SUM($C$14/SUM($C$14:$G$14)*'ASK14'!$E20,$D$14/SUM($C$14:$G$14)*BSSA14!$S20,$E$14/SUM($C$14:$G$14)*'CB14'!$Y20,$F$14/SUM($C$14:$G$14)*'CY14'!$U20,$G$14/SUM($C$14:$G$14)*'I14'!$L20),SUM($C$14/SUM($C$14:$G$14)*'ASK14'!$E20,$D$14/SUM($C$14:$G$14)*BSSA14!$S20,$E$14/SUM($C$14:$G$14)*'CB14'!$Y20,$F$14/SUM($C$14:$G$14)*'CY14'!$U20,$G$14/SUM($C$14:$G$14)*'I14'!$L20)),IF($B$104=1,IF($AB$52=0,EXP(SUM($C$14/SUM($C$14:$G$14)*LN('ASK14'!$E20),$D$14/SUM($C$14:$G$14)*LN(BSSA14!$S20),$E$14/SUM($C$14:$G$14)*LN('CB14'!$Y20),$F$14/SUM($C$14:$G$14)*LN('CY14'!$U20),$G$14/SUM($C$14:$G$14)*LN('I14'!$L20))),EXP(SUM($C$14/SUM($C$14:$G$14)*LN('ASK14'!$E20),$D$14/SUM($C$14:$G$14)*LN(BSSA14!$S20),$E$14/SUM($C$14:$G$14)*LN('CB14'!$Y20),$F$14/SUM($C$14:$G$14)*LN('CY14'!$U20),$G$14/SUM($C$14:$G$14)*LN('I14'!$L20))))))</f>
        <v>0.32592109967079508</v>
      </c>
      <c r="G37" s="96">
        <f>IF($B$104=0,IF($AB$52=0,SUM($C$14/SUM($C$14:$G$14)*('ASK14'!$E20*EXP(Main!$C$16*'ASK14'!$F20)),$D$14/SUM($C$14:$G$14)*(BSSA14!$S20*EXP(Main!$C$16*BSSA14!$T20)),$E$14/SUM($C$14:$G$14)*('CB14'!$Y20*EXP(Main!$C$16*'CB14'!$Z20)),$F$14/SUM($C$14:$G$14)*('CY14'!$U20*EXP(Main!$C$16*'CY14'!$V20)),$G$14/SUM($C$14:$G$14)*('I14'!$L20*EXP(Main!$C$16*'I14'!$M20))),SUM($C$14/SUM($C$14:$G$14)*('ASK14'!$E20*EXP(Main!$C$16*'ASK14'!$F20)),$D$14/SUM($C$14:$G$14)*(BSSA14!$S20*EXP(Main!$C$16*BSSA14!$T20)),$E$14/SUM($C$14:$G$14)*('CB14'!$Y20*EXP(Main!$C$16*'CB14'!$Z20)),$F$14/SUM($C$14:$G$14)*('CY14'!$U20*EXP(Main!$C$16*'CY14'!$V20)),$G$14/SUM($C$14:$G$14)*('I14'!$L20*EXP(Main!$C$16*'I14'!$M20)))),IF($B$104=1,IF($AB$52=0,EXP(SUM($C$14/SUM($C$14:$G$14)*(LN('ASK14'!$E20)+($C$16*'ASK14'!$F20)),$D$14/SUM($C$14:$G$14)*(LN(BSSA14!$S20)+($C$16*BSSA14!$T20)),$E$14/SUM($C$14:$G$14)*(LN('CB14'!$Y20)+($C$16*'CB14'!$Z20)),$F$14/SUM($C$14:$G$14)*(LN('CY14'!$U20)+($C$16*'CY14'!$V20)),$G$14/SUM($C$14:$G$14)*(LN('I14'!$L20)+($C$16*'I14'!$M20)))),EXP(SUM($C$14/SUM($C$14:$G$14)*(LN('ASK14'!$E20)+($C$16*'ASK14'!$F20)),$D$14/SUM($C$14:$G$14)*(LN(BSSA14!$S20)+($C$16*BSSA14!$T20)),$E$14/SUM($C$14:$G$14)*(LN('CB14'!$Y20)+($C$16*'CB14'!$Z20)),$F$14/SUM($C$14:$G$14)*(LN('CY14'!$U20)+($C$16*'CY14'!$V20)),$G$14/SUM($C$14:$G$14)*(LN('I14'!$L20)+($C$16*'I14'!$M20)))))))</f>
        <v>0.66161809253582182</v>
      </c>
      <c r="H37" s="96">
        <f>IF($B$104=0,IF($AB$52=0,SUM($C$14/SUM($C$14:$G$14)*('ASK14'!$E20*EXP(-Main!$C$16*'ASK14'!$F20)),$D$14/SUM($C$14:$G$14)*(BSSA14!$S20*EXP(-Main!$C$16*BSSA14!$T20)),$E$14/SUM($C$14:$G$14)*('CB14'!$Y20*EXP(-Main!$C$16*'CB14'!$Z20)),$F$14/SUM($C$14:$G$14)*('CY14'!$U20*EXP(-Main!$C$16*'CY14'!$V20)),$G$14/SUM($C$14:$G$14)*('I14'!$L20*EXP(-Main!$C$16*'I14'!$M20))),SUM($C$14/SUM($C$14:$G$14)*('ASK14'!$E20*EXP(-Main!$C$16*'ASK14'!$F20)),$D$14/SUM($C$14:$G$14)*(BSSA14!$S20*EXP(-Main!$C$16*BSSA14!$T20)),$E$14/SUM($C$14:$G$14)*('CB14'!$Y20*EXP(-Main!$C$16*'CB14'!$Z20)),$F$14/SUM($C$14:$G$14)*('CY14'!$U20*EXP(-Main!$C$16*'CY14'!$V20)),$G$14/SUM($C$14:$G$14)*('I14'!$L20*EXP(-Main!$C$16*'I14'!$M20)))),IF($B$104=1,IF($AB$52=0,EXP(SUM($C$14/SUM($C$14:$G$14)*(LN('ASK14'!$E20)-($C$16*'ASK14'!$F20)),$D$14/SUM($C$14:$G$14)*(LN(BSSA14!$S20)-($C$16*BSSA14!$T20)),$E$14/SUM($C$14:$G$14)*(LN('CB14'!$Y20)-($C$16*'CB14'!$Z20)),$F$14/SUM($C$14:$G$14)*(LN('CY14'!$U20)-($C$16*'CY14'!$V20)),$G$14/SUM($C$14:$G$14)*(LN('I14'!$L20)-($C$16*'I14'!$M20)))),EXP(SUM($C$14/SUM($C$14:$G$14)*(LN('ASK14'!$E20)-($C$16*'ASK14'!$F20)),$D$14/SUM($C$14:$G$14)*(LN(BSSA14!$S20)-($C$16*BSSA14!$T20)),$E$14/SUM($C$14:$G$14)*(LN('CB14'!$Y20)-($C$16*'CB14'!$Z20)),$F$14/SUM($C$14:$G$14)*(LN('CY14'!$U20)-($C$16*'CY14'!$V20)),$G$14/SUM($C$14:$G$14)*(LN('I14'!$L20)-($C$16*'I14'!$M20)))))))</f>
        <v>0.16055268803712325</v>
      </c>
      <c r="I37" s="96">
        <f t="shared" si="0"/>
        <v>18.203769765452343</v>
      </c>
      <c r="J37" s="96">
        <f>DSF!$S36*Main!F37</f>
        <v>0.32624702077046586</v>
      </c>
      <c r="K37" s="96">
        <f>DSF!$S36*Main!G37</f>
        <v>0.66227971062835755</v>
      </c>
      <c r="L37" s="96">
        <f>DSF!$S36*Main!H37</f>
        <v>0.16071324072516036</v>
      </c>
      <c r="M37" s="96">
        <f>DSF!$S36*Main!I37</f>
        <v>18.221973535217792</v>
      </c>
      <c r="N37" s="29"/>
      <c r="O37" s="29"/>
      <c r="P37" s="29"/>
      <c r="Q37" s="29"/>
      <c r="R37" s="29"/>
      <c r="S37" s="29"/>
      <c r="T37" s="29"/>
      <c r="U37" s="29"/>
      <c r="V37" s="29"/>
      <c r="W37" s="334"/>
      <c r="Z37" s="308" t="s">
        <v>349</v>
      </c>
      <c r="AA37" s="29" t="s">
        <v>352</v>
      </c>
      <c r="AB37" s="260">
        <f>IF(AND($E$14&lt;&gt;0,$C$66="Out of Range! Use 760 m/s"),1,0)</f>
        <v>0</v>
      </c>
    </row>
    <row r="38" spans="1:29" ht="16.149999999999999" x14ac:dyDescent="0.45">
      <c r="A38" s="334"/>
      <c r="B38" s="267" t="s">
        <v>213</v>
      </c>
      <c r="D38" s="364"/>
      <c r="E38" s="291">
        <v>2</v>
      </c>
      <c r="F38" s="96">
        <f>IF($B$104=0,IF($AB$52=0,SUM($C$14/SUM($C$14:$G$14)*'ASK14'!$E21,$D$14/SUM($C$14:$G$14)*BSSA14!$S21,$E$14/SUM($C$14:$G$14)*'CB14'!$Y21,$F$14/SUM($C$14:$G$14)*'CY14'!$U21,$G$14/SUM($C$14:$G$14)*'I14'!$L21),SUM($C$14/SUM($C$14:$G$14)*'ASK14'!$E21,$D$14/SUM($C$14:$G$14)*BSSA14!$S21,$E$14/SUM($C$14:$G$14)*'CB14'!$Y21,$F$14/SUM($C$14:$G$14)*'CY14'!$U21,$G$14/SUM($C$14:$G$14)*'I14'!$L21)),IF($B$104=1,IF($AB$52=0,EXP(SUM($C$14/SUM($C$14:$G$14)*LN('ASK14'!$E21),$D$14/SUM($C$14:$G$14)*LN(BSSA14!$S21),$E$14/SUM($C$14:$G$14)*LN('CB14'!$Y21),$F$14/SUM($C$14:$G$14)*LN('CY14'!$U21),$G$14/SUM($C$14:$G$14)*LN('I14'!$L21))),EXP(SUM($C$14/SUM($C$14:$G$14)*LN('ASK14'!$E21),$D$14/SUM($C$14:$G$14)*LN(BSSA14!$S21),$E$14/SUM($C$14:$G$14)*LN('CB14'!$Y21),$F$14/SUM($C$14:$G$14)*LN('CY14'!$U21),$G$14/SUM($C$14:$G$14)*LN('I14'!$L21))))))</f>
        <v>0.25072580562813618</v>
      </c>
      <c r="G38" s="96">
        <f>IF($B$104=0,IF($AB$52=0,SUM($C$14/SUM($C$14:$G$14)*('ASK14'!$E21*EXP(Main!$C$16*'ASK14'!$F21)),$D$14/SUM($C$14:$G$14)*(BSSA14!$S21*EXP(Main!$C$16*BSSA14!$T21)),$E$14/SUM($C$14:$G$14)*('CB14'!$Y21*EXP(Main!$C$16*'CB14'!$Z21)),$F$14/SUM($C$14:$G$14)*('CY14'!$U21*EXP(Main!$C$16*'CY14'!$V21)),$G$14/SUM($C$14:$G$14)*('I14'!$L21*EXP(Main!$C$16*'I14'!$M21))),SUM($C$14/SUM($C$14:$G$14)*('ASK14'!$E21*EXP(Main!$C$16*'ASK14'!$F21)),$D$14/SUM($C$14:$G$14)*(BSSA14!$S21*EXP(Main!$C$16*BSSA14!$T21)),$E$14/SUM($C$14:$G$14)*('CB14'!$Y21*EXP(Main!$C$16*'CB14'!$Z21)),$F$14/SUM($C$14:$G$14)*('CY14'!$U21*EXP(Main!$C$16*'CY14'!$V21)),$G$14/SUM($C$14:$G$14)*('I14'!$L21*EXP(Main!$C$16*'I14'!$M21)))),IF($B$104=1,IF($AB$52=0,EXP(SUM($C$14/SUM($C$14:$G$14)*(LN('ASK14'!$E21)+($C$16*'ASK14'!$F21)),$D$14/SUM($C$14:$G$14)*(LN(BSSA14!$S21)+($C$16*BSSA14!$T21)),$E$14/SUM($C$14:$G$14)*(LN('CB14'!$Y21)+($C$16*'CB14'!$Z21)),$F$14/SUM($C$14:$G$14)*(LN('CY14'!$U21)+($C$16*'CY14'!$V21)),$G$14/SUM($C$14:$G$14)*(LN('I14'!$L21)+($C$16*'I14'!$M21)))),EXP(SUM($C$14/SUM($C$14:$G$14)*(LN('ASK14'!$E21)+($C$16*'ASK14'!$F21)),$D$14/SUM($C$14:$G$14)*(LN(BSSA14!$S21)+($C$16*BSSA14!$T21)),$E$14/SUM($C$14:$G$14)*(LN('CB14'!$Y21)+($C$16*'CB14'!$Z21)),$F$14/SUM($C$14:$G$14)*(LN('CY14'!$U21)+($C$16*'CY14'!$V21)),$G$14/SUM($C$14:$G$14)*(LN('I14'!$L21)+($C$16*'I14'!$M21)))))))</f>
        <v>0.51001848058422938</v>
      </c>
      <c r="H38" s="96">
        <f>IF($B$104=0,IF($AB$52=0,SUM($C$14/SUM($C$14:$G$14)*('ASK14'!$E21*EXP(-Main!$C$16*'ASK14'!$F21)),$D$14/SUM($C$14:$G$14)*(BSSA14!$S21*EXP(-Main!$C$16*BSSA14!$T21)),$E$14/SUM($C$14:$G$14)*('CB14'!$Y21*EXP(-Main!$C$16*'CB14'!$Z21)),$F$14/SUM($C$14:$G$14)*('CY14'!$U21*EXP(-Main!$C$16*'CY14'!$V21)),$G$14/SUM($C$14:$G$14)*('I14'!$L21*EXP(-Main!$C$16*'I14'!$M21))),SUM($C$14/SUM($C$14:$G$14)*('ASK14'!$E21*EXP(-Main!$C$16*'ASK14'!$F21)),$D$14/SUM($C$14:$G$14)*(BSSA14!$S21*EXP(-Main!$C$16*BSSA14!$T21)),$E$14/SUM($C$14:$G$14)*('CB14'!$Y21*EXP(-Main!$C$16*'CB14'!$Z21)),$F$14/SUM($C$14:$G$14)*('CY14'!$U21*EXP(-Main!$C$16*'CY14'!$V21)),$G$14/SUM($C$14:$G$14)*('I14'!$L21*EXP(-Main!$C$16*'I14'!$M21)))),IF($B$104=1,IF($AB$52=0,EXP(SUM($C$14/SUM($C$14:$G$14)*(LN('ASK14'!$E21)-($C$16*'ASK14'!$F21)),$D$14/SUM($C$14:$G$14)*(LN(BSSA14!$S21)-($C$16*BSSA14!$T21)),$E$14/SUM($C$14:$G$14)*(LN('CB14'!$Y21)-($C$16*'CB14'!$Z21)),$F$14/SUM($C$14:$G$14)*(LN('CY14'!$U21)-($C$16*'CY14'!$V21)),$G$14/SUM($C$14:$G$14)*(LN('I14'!$L21)-($C$16*'I14'!$M21)))),EXP(SUM($C$14/SUM($C$14:$G$14)*(LN('ASK14'!$E21)-($C$16*'ASK14'!$F21)),$D$14/SUM($C$14:$G$14)*(LN(BSSA14!$S21)-($C$16*BSSA14!$T21)),$E$14/SUM($C$14:$G$14)*(LN('CB14'!$Y21)-($C$16*'CB14'!$Z21)),$F$14/SUM($C$14:$G$14)*(LN('CY14'!$U21)-($C$16*'CY14'!$V21)),$G$14/SUM($C$14:$G$14)*(LN('I14'!$L21)-($C$16*'I14'!$M21)))))))</f>
        <v>0.12325716028146173</v>
      </c>
      <c r="I38" s="96">
        <f t="shared" si="0"/>
        <v>24.895758688003042</v>
      </c>
      <c r="J38" s="96">
        <f>DSF!$S37*Main!F38</f>
        <v>0.25022435401687992</v>
      </c>
      <c r="K38" s="96">
        <f>DSF!$S37*Main!G38</f>
        <v>0.5089984436230609</v>
      </c>
      <c r="L38" s="96">
        <f>DSF!$S37*Main!H38</f>
        <v>0.12301064596089881</v>
      </c>
      <c r="M38" s="96">
        <f>DSF!$S37*Main!I38</f>
        <v>24.845967170627034</v>
      </c>
      <c r="N38" s="29"/>
      <c r="O38" s="29"/>
      <c r="P38" s="29"/>
      <c r="Q38" s="29"/>
      <c r="R38" s="29"/>
      <c r="S38" s="29"/>
      <c r="T38" s="29"/>
      <c r="U38" s="29"/>
      <c r="V38" s="29"/>
      <c r="W38" s="334"/>
      <c r="Z38" s="308" t="s">
        <v>350</v>
      </c>
      <c r="AA38" s="29" t="s">
        <v>353</v>
      </c>
      <c r="AB38" s="260">
        <f>IF(AND($E$14&lt;&gt;0,$C$60="Out of Range! Use 760 m/s"),1,0)</f>
        <v>0</v>
      </c>
    </row>
    <row r="39" spans="1:29" x14ac:dyDescent="0.45">
      <c r="A39" s="334"/>
      <c r="B39" s="196">
        <v>360</v>
      </c>
      <c r="C39" s="241"/>
      <c r="D39" s="364"/>
      <c r="E39" s="291">
        <v>3</v>
      </c>
      <c r="F39" s="96">
        <f>IF($B$104=0,IF($AB$52=0,SUM($C$14/SUM($C$14:$G$14)*'ASK14'!$E22,$D$14/SUM($C$14:$G$14)*BSSA14!$S22,$E$14/SUM($C$14:$G$14)*'CB14'!$Y22,$F$14/SUM($C$14:$G$14)*'CY14'!$U22,$G$14/SUM($C$14:$G$14)*'I14'!$L22),SUM($C$14/SUM($C$14:$G$14)*'ASK14'!$E22,$D$14/SUM($C$14:$G$14)*BSSA14!$S22,$E$14/SUM($C$14:$G$14)*'CB14'!$Y22,$F$14/SUM($C$14:$G$14)*'CY14'!$U22,$G$14/SUM($C$14:$G$14)*'I14'!$L22)),IF($B$104=1,IF($AB$52=0,EXP(SUM($C$14/SUM($C$14:$G$14)*LN('ASK14'!$E22),$D$14/SUM($C$14:$G$14)*LN(BSSA14!$S22),$E$14/SUM($C$14:$G$14)*LN('CB14'!$Y22),$F$14/SUM($C$14:$G$14)*LN('CY14'!$U22),$G$14/SUM($C$14:$G$14)*LN('I14'!$L22))),EXP(SUM($C$14/SUM($C$14:$G$14)*LN('ASK14'!$E22),$D$14/SUM($C$14:$G$14)*LN(BSSA14!$S22),$E$14/SUM($C$14:$G$14)*LN('CB14'!$Y22),$F$14/SUM($C$14:$G$14)*LN('CY14'!$U22),$G$14/SUM($C$14:$G$14)*LN('I14'!$L22))))))</f>
        <v>0.17816791873143747</v>
      </c>
      <c r="G39" s="96">
        <f>IF($B$104=0,IF($AB$52=0,SUM($C$14/SUM($C$14:$G$14)*('ASK14'!$E22*EXP(Main!$C$16*'ASK14'!$F22)),$D$14/SUM($C$14:$G$14)*(BSSA14!$S22*EXP(Main!$C$16*BSSA14!$T22)),$E$14/SUM($C$14:$G$14)*('CB14'!$Y22*EXP(Main!$C$16*'CB14'!$Z22)),$F$14/SUM($C$14:$G$14)*('CY14'!$U22*EXP(Main!$C$16*'CY14'!$V22)),$G$14/SUM($C$14:$G$14)*('I14'!$L22*EXP(Main!$C$16*'I14'!$M22))),SUM($C$14/SUM($C$14:$G$14)*('ASK14'!$E22*EXP(Main!$C$16*'ASK14'!$F22)),$D$14/SUM($C$14:$G$14)*(BSSA14!$S22*EXP(Main!$C$16*BSSA14!$T22)),$E$14/SUM($C$14:$G$14)*('CB14'!$Y22*EXP(Main!$C$16*'CB14'!$Z22)),$F$14/SUM($C$14:$G$14)*('CY14'!$U22*EXP(Main!$C$16*'CY14'!$V22)),$G$14/SUM($C$14:$G$14)*('I14'!$L22*EXP(Main!$C$16*'I14'!$M22)))),IF($B$104=1,IF($AB$52=0,EXP(SUM($C$14/SUM($C$14:$G$14)*(LN('ASK14'!$E22)+($C$16*'ASK14'!$F22)),$D$14/SUM($C$14:$G$14)*(LN(BSSA14!$S22)+($C$16*BSSA14!$T22)),$E$14/SUM($C$14:$G$14)*(LN('CB14'!$Y22)+($C$16*'CB14'!$Z22)),$F$14/SUM($C$14:$G$14)*(LN('CY14'!$U22)+($C$16*'CY14'!$V22)),$G$14/SUM($C$14:$G$14)*(LN('I14'!$L22)+($C$16*'I14'!$M22)))),EXP(SUM($C$14/SUM($C$14:$G$14)*(LN('ASK14'!$E22)+($C$16*'ASK14'!$F22)),$D$14/SUM($C$14:$G$14)*(LN(BSSA14!$S22)+($C$16*BSSA14!$T22)),$E$14/SUM($C$14:$G$14)*(LN('CB14'!$Y22)+($C$16*'CB14'!$Z22)),$F$14/SUM($C$14:$G$14)*(LN('CY14'!$U22)+($C$16*'CY14'!$V22)),$G$14/SUM($C$14:$G$14)*(LN('I14'!$L22)+($C$16*'I14'!$M22)))))))</f>
        <v>0.3626459818692036</v>
      </c>
      <c r="H39" s="96">
        <f>IF($B$104=0,IF($AB$52=0,SUM($C$14/SUM($C$14:$G$14)*('ASK14'!$E22*EXP(-Main!$C$16*'ASK14'!$F22)),$D$14/SUM($C$14:$G$14)*(BSSA14!$S22*EXP(-Main!$C$16*BSSA14!$T22)),$E$14/SUM($C$14:$G$14)*('CB14'!$Y22*EXP(-Main!$C$16*'CB14'!$Z22)),$F$14/SUM($C$14:$G$14)*('CY14'!$U22*EXP(-Main!$C$16*'CY14'!$V22)),$G$14/SUM($C$14:$G$14)*('I14'!$L22*EXP(-Main!$C$16*'I14'!$M22))),SUM($C$14/SUM($C$14:$G$14)*('ASK14'!$E22*EXP(-Main!$C$16*'ASK14'!$F22)),$D$14/SUM($C$14:$G$14)*(BSSA14!$S22*EXP(-Main!$C$16*BSSA14!$T22)),$E$14/SUM($C$14:$G$14)*('CB14'!$Y22*EXP(-Main!$C$16*'CB14'!$Z22)),$F$14/SUM($C$14:$G$14)*('CY14'!$U22*EXP(-Main!$C$16*'CY14'!$V22)),$G$14/SUM($C$14:$G$14)*('I14'!$L22*EXP(-Main!$C$16*'I14'!$M22)))),IF($B$104=1,IF($AB$52=0,EXP(SUM($C$14/SUM($C$14:$G$14)*(LN('ASK14'!$E22)-($C$16*'ASK14'!$F22)),$D$14/SUM($C$14:$G$14)*(LN(BSSA14!$S22)-($C$16*BSSA14!$T22)),$E$14/SUM($C$14:$G$14)*(LN('CB14'!$Y22)-($C$16*'CB14'!$Z22)),$F$14/SUM($C$14:$G$14)*(LN('CY14'!$U22)-($C$16*'CY14'!$V22)),$G$14/SUM($C$14:$G$14)*(LN('I14'!$L22)-($C$16*'I14'!$M22)))),EXP(SUM($C$14/SUM($C$14:$G$14)*(LN('ASK14'!$E22)-($C$16*'ASK14'!$F22)),$D$14/SUM($C$14:$G$14)*(LN(BSSA14!$S22)-($C$16*BSSA14!$T22)),$E$14/SUM($C$14:$G$14)*(LN('CB14'!$Y22)-($C$16*'CB14'!$Z22)),$F$14/SUM($C$14:$G$14)*(LN('CY14'!$U22)-($C$16*'CY14'!$V22)),$G$14/SUM($C$14:$G$14)*(LN('I14'!$L22)-($C$16*'I14'!$M22)))))))</f>
        <v>8.7533872846111457E-2</v>
      </c>
      <c r="I39" s="96">
        <f t="shared" si="0"/>
        <v>39.805066630579205</v>
      </c>
      <c r="J39" s="96">
        <f>DSF!$S38*Main!F39</f>
        <v>0.17816791873143747</v>
      </c>
      <c r="K39" s="96">
        <f>DSF!$S38*Main!G39</f>
        <v>0.3626459818692036</v>
      </c>
      <c r="L39" s="96">
        <f>DSF!$S38*Main!H39</f>
        <v>8.7533872846111457E-2</v>
      </c>
      <c r="M39" s="96">
        <f>DSF!$S38*Main!I39</f>
        <v>39.805066630579205</v>
      </c>
      <c r="N39" s="29"/>
      <c r="O39" s="29"/>
      <c r="P39" s="29"/>
      <c r="Q39" s="29"/>
      <c r="R39" s="29"/>
      <c r="S39" s="29"/>
      <c r="T39" s="29"/>
      <c r="U39" s="29"/>
      <c r="V39" s="29"/>
      <c r="W39" s="334"/>
      <c r="Z39" s="308" t="s">
        <v>362</v>
      </c>
      <c r="AA39" s="29" t="s">
        <v>353</v>
      </c>
      <c r="AB39" s="260">
        <f>IF(AND($E$14&lt;&gt;0,$C$57="Out of Range! Use 760 m/s"),1,0)</f>
        <v>0</v>
      </c>
    </row>
    <row r="40" spans="1:29" x14ac:dyDescent="0.45">
      <c r="A40" s="334"/>
      <c r="B40" s="178"/>
      <c r="C40" s="281"/>
      <c r="D40" s="364"/>
      <c r="E40" s="291">
        <v>4</v>
      </c>
      <c r="F40" s="96">
        <f>IF($B$104=0,IF($AB$52=0,SUM($C$14/SUM($C$14:$G$14)*'ASK14'!$E23,$D$14/SUM($C$14:$G$14)*BSSA14!$S23,$E$14/SUM($C$14:$G$14)*'CB14'!$Y23,$F$14/SUM($C$14:$G$14)*'CY14'!$U23,$G$14/SUM($C$14:$G$14)*'I14'!$L23),SUM($C$14/SUM($C$14:$G$14)*'ASK14'!$E23,$D$14/SUM($C$14:$G$14)*BSSA14!$S23,$E$14/SUM($C$14:$G$14)*'CB14'!$Y23,$F$14/SUM($C$14:$G$14)*'CY14'!$U23,$G$14/SUM($C$14:$G$14)*'I14'!$L23)),IF($B$104=1,IF($AB$52=0,EXP(SUM($C$14/SUM($C$14:$G$14)*LN('ASK14'!$E23),$D$14/SUM($C$14:$G$14)*LN(BSSA14!$S23),$E$14/SUM($C$14:$G$14)*LN('CB14'!$Y23),$F$14/SUM($C$14:$G$14)*LN('CY14'!$U23),$G$14/SUM($C$14:$G$14)*LN('I14'!$L23))),EXP(SUM($C$14/SUM($C$14:$G$14)*LN('ASK14'!$E23),$D$14/SUM($C$14:$G$14)*LN(BSSA14!$S23),$E$14/SUM($C$14:$G$14)*LN('CB14'!$Y23),$F$14/SUM($C$14:$G$14)*LN('CY14'!$U23),$G$14/SUM($C$14:$G$14)*LN('I14'!$L23))))))</f>
        <v>0.13686942845786262</v>
      </c>
      <c r="G40" s="96">
        <f>IF($B$104=0,IF($AB$52=0,SUM($C$14/SUM($C$14:$G$14)*('ASK14'!$E23*EXP(Main!$C$16*'ASK14'!$F23)),$D$14/SUM($C$14:$G$14)*(BSSA14!$S23*EXP(Main!$C$16*BSSA14!$T23)),$E$14/SUM($C$14:$G$14)*('CB14'!$Y23*EXP(Main!$C$16*'CB14'!$Z23)),$F$14/SUM($C$14:$G$14)*('CY14'!$U23*EXP(Main!$C$16*'CY14'!$V23)),$G$14/SUM($C$14:$G$14)*('I14'!$L23*EXP(Main!$C$16*'I14'!$M23))),SUM($C$14/SUM($C$14:$G$14)*('ASK14'!$E23*EXP(Main!$C$16*'ASK14'!$F23)),$D$14/SUM($C$14:$G$14)*(BSSA14!$S23*EXP(Main!$C$16*BSSA14!$T23)),$E$14/SUM($C$14:$G$14)*('CB14'!$Y23*EXP(Main!$C$16*'CB14'!$Z23)),$F$14/SUM($C$14:$G$14)*('CY14'!$U23*EXP(Main!$C$16*'CY14'!$V23)),$G$14/SUM($C$14:$G$14)*('I14'!$L23*EXP(Main!$C$16*'I14'!$M23)))),IF($B$104=1,IF($AB$52=0,EXP(SUM($C$14/SUM($C$14:$G$14)*(LN('ASK14'!$E23)+($C$16*'ASK14'!$F23)),$D$14/SUM($C$14:$G$14)*(LN(BSSA14!$S23)+($C$16*BSSA14!$T23)),$E$14/SUM($C$14:$G$14)*(LN('CB14'!$Y23)+($C$16*'CB14'!$Z23)),$F$14/SUM($C$14:$G$14)*(LN('CY14'!$U23)+($C$16*'CY14'!$V23)),$G$14/SUM($C$14:$G$14)*(LN('I14'!$L23)+($C$16*'I14'!$M23)))),EXP(SUM($C$14/SUM($C$14:$G$14)*(LN('ASK14'!$E23)+($C$16*'ASK14'!$F23)),$D$14/SUM($C$14:$G$14)*(LN(BSSA14!$S23)+($C$16*BSSA14!$T23)),$E$14/SUM($C$14:$G$14)*(LN('CB14'!$Y23)+($C$16*'CB14'!$Z23)),$F$14/SUM($C$14:$G$14)*(LN('CY14'!$U23)+($C$16*'CY14'!$V23)),$G$14/SUM($C$14:$G$14)*(LN('I14'!$L23)+($C$16*'I14'!$M23)))))))</f>
        <v>0.27586841798223627</v>
      </c>
      <c r="H40" s="96">
        <f>IF($B$104=0,IF($AB$52=0,SUM($C$14/SUM($C$14:$G$14)*('ASK14'!$E23*EXP(-Main!$C$16*'ASK14'!$F23)),$D$14/SUM($C$14:$G$14)*(BSSA14!$S23*EXP(-Main!$C$16*BSSA14!$T23)),$E$14/SUM($C$14:$G$14)*('CB14'!$Y23*EXP(-Main!$C$16*'CB14'!$Z23)),$F$14/SUM($C$14:$G$14)*('CY14'!$U23*EXP(-Main!$C$16*'CY14'!$V23)),$G$14/SUM($C$14:$G$14)*('I14'!$L23*EXP(-Main!$C$16*'I14'!$M23))),SUM($C$14/SUM($C$14:$G$14)*('ASK14'!$E23*EXP(-Main!$C$16*'ASK14'!$F23)),$D$14/SUM($C$14:$G$14)*(BSSA14!$S23*EXP(-Main!$C$16*BSSA14!$T23)),$E$14/SUM($C$14:$G$14)*('CB14'!$Y23*EXP(-Main!$C$16*'CB14'!$Z23)),$F$14/SUM($C$14:$G$14)*('CY14'!$U23*EXP(-Main!$C$16*'CY14'!$V23)),$G$14/SUM($C$14:$G$14)*('I14'!$L23*EXP(-Main!$C$16*'I14'!$M23)))),IF($B$104=1,IF($AB$52=0,EXP(SUM($C$14/SUM($C$14:$G$14)*(LN('ASK14'!$E23)-($C$16*'ASK14'!$F23)),$D$14/SUM($C$14:$G$14)*(LN(BSSA14!$S23)-($C$16*BSSA14!$T23)),$E$14/SUM($C$14:$G$14)*(LN('CB14'!$Y23)-($C$16*'CB14'!$Z23)),$F$14/SUM($C$14:$G$14)*(LN('CY14'!$U23)-($C$16*'CY14'!$V23)),$G$14/SUM($C$14:$G$14)*(LN('I14'!$L23)-($C$16*'I14'!$M23)))),EXP(SUM($C$14/SUM($C$14:$G$14)*(LN('ASK14'!$E23)-($C$16*'ASK14'!$F23)),$D$14/SUM($C$14:$G$14)*(LN(BSSA14!$S23)-($C$16*BSSA14!$T23)),$E$14/SUM($C$14:$G$14)*(LN('CB14'!$Y23)-($C$16*'CB14'!$Z23)),$F$14/SUM($C$14:$G$14)*(LN('CY14'!$U23)-($C$16*'CY14'!$V23)),$G$14/SUM($C$14:$G$14)*(LN('I14'!$L23)-($C$16*'I14'!$M23)))))))</f>
        <v>6.7906433738958272E-2</v>
      </c>
      <c r="I40" s="96">
        <f t="shared" si="0"/>
        <v>54.361668183539578</v>
      </c>
      <c r="J40" s="96">
        <f>DSF!$S39*Main!F40</f>
        <v>0.13673255902940476</v>
      </c>
      <c r="K40" s="96">
        <f>DSF!$S39*Main!G40</f>
        <v>0.27559254956425405</v>
      </c>
      <c r="L40" s="96">
        <f>DSF!$S39*Main!H40</f>
        <v>6.7838527305219318E-2</v>
      </c>
      <c r="M40" s="96">
        <f>DSF!$S39*Main!I40</f>
        <v>54.307306515356039</v>
      </c>
      <c r="N40" s="29"/>
      <c r="O40" s="29"/>
      <c r="P40" s="29"/>
      <c r="Q40" s="29"/>
      <c r="R40" s="29"/>
      <c r="S40" s="29"/>
      <c r="T40" s="29"/>
      <c r="U40" s="29"/>
      <c r="V40" s="29"/>
      <c r="W40" s="334"/>
      <c r="Z40" s="308" t="s">
        <v>360</v>
      </c>
      <c r="AA40" s="29" t="s">
        <v>361</v>
      </c>
      <c r="AB40" s="260">
        <f>IF(AND($E$14&lt;&gt;0,$C$54="Out of Range! Use 760 m/s"),1,0)</f>
        <v>0</v>
      </c>
    </row>
    <row r="41" spans="1:29" x14ac:dyDescent="0.45">
      <c r="A41" s="334"/>
      <c r="B41" s="267" t="s">
        <v>281</v>
      </c>
      <c r="C41" s="280" t="s">
        <v>564</v>
      </c>
      <c r="D41" s="364"/>
      <c r="E41" s="291">
        <v>5</v>
      </c>
      <c r="F41" s="96">
        <f>IF($B$104=0,IF($AB$52=0,SUM($C$14/SUM($C$14:$G$14)*'ASK14'!$E24,$D$14/SUM($C$14:$G$14)*BSSA14!$S24,$E$14/SUM($C$14:$G$14)*'CB14'!$Y24,$F$14/SUM($C$14:$G$14)*'CY14'!$U24,$G$14/SUM($C$14:$G$14)*'I14'!$L24),SUM($C$14/SUM($C$14:$G$14)*'ASK14'!$E24,$D$14/SUM($C$14:$G$14)*BSSA14!$S24,$E$14/SUM($C$14:$G$14)*'CB14'!$Y24,$F$14/SUM($C$14:$G$14)*'CY14'!$U24,$G$14/SUM($C$14:$G$14)*'I14'!$L24)),IF($B$104=1,IF($AB$52=0,EXP(SUM($C$14/SUM($C$14:$G$14)*LN('ASK14'!$E24),$D$14/SUM($C$14:$G$14)*LN(BSSA14!$S24),$E$14/SUM($C$14:$G$14)*LN('CB14'!$Y24),$F$14/SUM($C$14:$G$14)*LN('CY14'!$U24),$G$14/SUM($C$14:$G$14)*LN('I14'!$L24))),EXP(SUM($C$14/SUM($C$14:$G$14)*LN('ASK14'!$E24),$D$14/SUM($C$14:$G$14)*LN(BSSA14!$S24),$E$14/SUM($C$14:$G$14)*LN('CB14'!$Y24),$F$14/SUM($C$14:$G$14)*LN('CY14'!$U24),$G$14/SUM($C$14:$G$14)*LN('I14'!$L24))))))</f>
        <v>0.1064938044315096</v>
      </c>
      <c r="G41" s="96">
        <f>IF($B$104=0,IF($AB$52=0,SUM($C$14/SUM($C$14:$G$14)*('ASK14'!$E24*EXP(Main!$C$16*'ASK14'!$F24)),$D$14/SUM($C$14:$G$14)*(BSSA14!$S24*EXP(Main!$C$16*BSSA14!$T24)),$E$14/SUM($C$14:$G$14)*('CB14'!$Y24*EXP(Main!$C$16*'CB14'!$Z24)),$F$14/SUM($C$14:$G$14)*('CY14'!$U24*EXP(Main!$C$16*'CY14'!$V24)),$G$14/SUM($C$14:$G$14)*('I14'!$L24*EXP(Main!$C$16*'I14'!$M24))),SUM($C$14/SUM($C$14:$G$14)*('ASK14'!$E24*EXP(Main!$C$16*'ASK14'!$F24)),$D$14/SUM($C$14:$G$14)*(BSSA14!$S24*EXP(Main!$C$16*BSSA14!$T24)),$E$14/SUM($C$14:$G$14)*('CB14'!$Y24*EXP(Main!$C$16*'CB14'!$Z24)),$F$14/SUM($C$14:$G$14)*('CY14'!$U24*EXP(Main!$C$16*'CY14'!$V24)),$G$14/SUM($C$14:$G$14)*('I14'!$L24*EXP(Main!$C$16*'I14'!$M24)))),IF($B$104=1,IF($AB$52=0,EXP(SUM($C$14/SUM($C$14:$G$14)*(LN('ASK14'!$E24)+($C$16*'ASK14'!$F24)),$D$14/SUM($C$14:$G$14)*(LN(BSSA14!$S24)+($C$16*BSSA14!$T24)),$E$14/SUM($C$14:$G$14)*(LN('CB14'!$Y24)+($C$16*'CB14'!$Z24)),$F$14/SUM($C$14:$G$14)*(LN('CY14'!$U24)+($C$16*'CY14'!$V24)),$G$14/SUM($C$14:$G$14)*(LN('I14'!$L24)+($C$16*'I14'!$M24)))),EXP(SUM($C$14/SUM($C$14:$G$14)*(LN('ASK14'!$E24)+($C$16*'ASK14'!$F24)),$D$14/SUM($C$14:$G$14)*(LN(BSSA14!$S24)+($C$16*BSSA14!$T24)),$E$14/SUM($C$14:$G$14)*(LN('CB14'!$Y24)+($C$16*'CB14'!$Z24)),$F$14/SUM($C$14:$G$14)*(LN('CY14'!$U24)+($C$16*'CY14'!$V24)),$G$14/SUM($C$14:$G$14)*(LN('I14'!$L24)+($C$16*'I14'!$M24)))))))</f>
        <v>0.21495316538492026</v>
      </c>
      <c r="H41" s="96">
        <f>IF($B$104=0,IF($AB$52=0,SUM($C$14/SUM($C$14:$G$14)*('ASK14'!$E24*EXP(-Main!$C$16*'ASK14'!$F24)),$D$14/SUM($C$14:$G$14)*(BSSA14!$S24*EXP(-Main!$C$16*BSSA14!$T24)),$E$14/SUM($C$14:$G$14)*('CB14'!$Y24*EXP(-Main!$C$16*'CB14'!$Z24)),$F$14/SUM($C$14:$G$14)*('CY14'!$U24*EXP(-Main!$C$16*'CY14'!$V24)),$G$14/SUM($C$14:$G$14)*('I14'!$L24*EXP(-Main!$C$16*'I14'!$M24))),SUM($C$14/SUM($C$14:$G$14)*('ASK14'!$E24*EXP(-Main!$C$16*'ASK14'!$F24)),$D$14/SUM($C$14:$G$14)*(BSSA14!$S24*EXP(-Main!$C$16*BSSA14!$T24)),$E$14/SUM($C$14:$G$14)*('CB14'!$Y24*EXP(-Main!$C$16*'CB14'!$Z24)),$F$14/SUM($C$14:$G$14)*('CY14'!$U24*EXP(-Main!$C$16*'CY14'!$V24)),$G$14/SUM($C$14:$G$14)*('I14'!$L24*EXP(-Main!$C$16*'I14'!$M24)))),IF($B$104=1,IF($AB$52=0,EXP(SUM($C$14/SUM($C$14:$G$14)*(LN('ASK14'!$E24)-($C$16*'ASK14'!$F24)),$D$14/SUM($C$14:$G$14)*(LN(BSSA14!$S24)-($C$16*BSSA14!$T24)),$E$14/SUM($C$14:$G$14)*(LN('CB14'!$Y24)-($C$16*'CB14'!$Z24)),$F$14/SUM($C$14:$G$14)*(LN('CY14'!$U24)-($C$16*'CY14'!$V24)),$G$14/SUM($C$14:$G$14)*(LN('I14'!$L24)-($C$16*'I14'!$M24)))),EXP(SUM($C$14/SUM($C$14:$G$14)*(LN('ASK14'!$E24)-($C$16*'ASK14'!$F24)),$D$14/SUM($C$14:$G$14)*(LN(BSSA14!$S24)-($C$16*BSSA14!$T24)),$E$14/SUM($C$14:$G$14)*(LN('CB14'!$Y24)-($C$16*'CB14'!$Z24)),$F$14/SUM($C$14:$G$14)*(LN('CY14'!$U24)-($C$16*'CY14'!$V24)),$G$14/SUM($C$14:$G$14)*(LN('I14'!$L24)-($C$16*'I14'!$M24)))))))</f>
        <v>5.2760006404130942E-2</v>
      </c>
      <c r="I41" s="96">
        <f t="shared" si="0"/>
        <v>66.089229682904161</v>
      </c>
      <c r="J41" s="96">
        <f>DSF!$S40*Main!F41</f>
        <v>0.10628081682264659</v>
      </c>
      <c r="K41" s="96">
        <f>DSF!$S40*Main!G41</f>
        <v>0.21452325905415043</v>
      </c>
      <c r="L41" s="96">
        <f>DSF!$S40*Main!H41</f>
        <v>5.2654486391322683E-2</v>
      </c>
      <c r="M41" s="96">
        <f>DSF!$S40*Main!I41</f>
        <v>65.957051223538357</v>
      </c>
      <c r="N41" s="29"/>
      <c r="O41" s="29"/>
      <c r="P41" s="29"/>
      <c r="Q41" s="29"/>
      <c r="R41" s="29"/>
      <c r="S41" s="29"/>
      <c r="T41" s="29"/>
      <c r="U41" s="29"/>
      <c r="V41" s="29"/>
      <c r="W41" s="334"/>
      <c r="Y41" s="309" t="s">
        <v>297</v>
      </c>
      <c r="Z41" s="207" t="s">
        <v>345</v>
      </c>
      <c r="AA41" s="29" t="s">
        <v>365</v>
      </c>
      <c r="AB41" s="260">
        <f>IF(AND($F$14&lt;&gt;0,$C$24="! Not Applicable !"),1,0)</f>
        <v>0</v>
      </c>
      <c r="AC41">
        <f>SUM(AB41:AB47)</f>
        <v>0</v>
      </c>
    </row>
    <row r="42" spans="1:29" x14ac:dyDescent="0.45">
      <c r="A42" s="334"/>
      <c r="B42" s="196">
        <v>0</v>
      </c>
      <c r="C42" s="278"/>
      <c r="D42" s="364"/>
      <c r="E42" s="291">
        <v>7.5</v>
      </c>
      <c r="F42" s="96">
        <f>IF($B$104=0,IF($AB$52=0,SUM($C$14/SUM($C$14:$G$14)*'ASK14'!$E25,$D$14/SUM($C$14:$G$14)*BSSA14!$S25,$E$14/SUM($C$14:$G$14)*'CB14'!$Y25,$F$14/SUM($C$14:$G$14)*'CY14'!$U25,$G$14/SUM($C$14:$G$14)*'I14'!$L25),SUM($C$14/SUM($C$14:$G$14)*'ASK14'!$E25,$D$14/SUM($C$14:$G$14)*BSSA14!$S25,$E$14/SUM($C$14:$G$14)*'CB14'!$Y25,$F$14/SUM($C$14:$G$14)*'CY14'!$U25,$G$14/SUM($C$14:$G$14)*'I14'!$L25)),IF($B$104=1,IF($AB$52=0,EXP(SUM($C$14/SUM($C$14:$G$14)*LN('ASK14'!$E25),$D$14/SUM($C$14:$G$14)*LN(BSSA14!$S25),$E$14/SUM($C$14:$G$14)*LN('CB14'!$Y25),$F$14/SUM($C$14:$G$14)*LN('CY14'!$U25),$G$14/SUM($C$14:$G$14)*LN('I14'!$L25))),EXP(SUM($C$14/SUM($C$14:$G$14)*LN('ASK14'!$E25),$D$14/SUM($C$14:$G$14)*LN(BSSA14!$S25),$E$14/SUM($C$14:$G$14)*LN('CB14'!$Y25),$F$14/SUM($C$14:$G$14)*LN('CY14'!$U25),$G$14/SUM($C$14:$G$14)*LN('I14'!$L25))))))</f>
        <v>6.0438739812259369E-2</v>
      </c>
      <c r="G42" s="96">
        <f>IF($B$104=0,IF($AB$52=0,SUM($C$14/SUM($C$14:$G$14)*('ASK14'!$E25*EXP(Main!$C$16*'ASK14'!$F25)),$D$14/SUM($C$14:$G$14)*(BSSA14!$S25*EXP(Main!$C$16*BSSA14!$T25)),$E$14/SUM($C$14:$G$14)*('CB14'!$Y25*EXP(Main!$C$16*'CB14'!$Z25)),$F$14/SUM($C$14:$G$14)*('CY14'!$U25*EXP(Main!$C$16*'CY14'!$V25)),$G$14/SUM($C$14:$G$14)*('I14'!$L25*EXP(Main!$C$16*'I14'!$M25))),SUM($C$14/SUM($C$14:$G$14)*('ASK14'!$E25*EXP(Main!$C$16*'ASK14'!$F25)),$D$14/SUM($C$14:$G$14)*(BSSA14!$S25*EXP(Main!$C$16*BSSA14!$T25)),$E$14/SUM($C$14:$G$14)*('CB14'!$Y25*EXP(Main!$C$16*'CB14'!$Z25)),$F$14/SUM($C$14:$G$14)*('CY14'!$U25*EXP(Main!$C$16*'CY14'!$V25)),$G$14/SUM($C$14:$G$14)*('I14'!$L25*EXP(Main!$C$16*'I14'!$M25)))),IF($B$104=1,IF($AB$52=0,EXP(SUM($C$14/SUM($C$14:$G$14)*(LN('ASK14'!$E25)+($C$16*'ASK14'!$F25)),$D$14/SUM($C$14:$G$14)*(LN(BSSA14!$S25)+($C$16*BSSA14!$T25)),$E$14/SUM($C$14:$G$14)*(LN('CB14'!$Y25)+($C$16*'CB14'!$Z25)),$F$14/SUM($C$14:$G$14)*(LN('CY14'!$U25)+($C$16*'CY14'!$V25)),$G$14/SUM($C$14:$G$14)*(LN('I14'!$L25)+($C$16*'I14'!$M25)))),EXP(SUM($C$14/SUM($C$14:$G$14)*(LN('ASK14'!$E25)+($C$16*'ASK14'!$F25)),$D$14/SUM($C$14:$G$14)*(LN(BSSA14!$S25)+($C$16*BSSA14!$T25)),$E$14/SUM($C$14:$G$14)*(LN('CB14'!$Y25)+($C$16*'CB14'!$Z25)),$F$14/SUM($C$14:$G$14)*(LN('CY14'!$U25)+($C$16*'CY14'!$V25)),$G$14/SUM($C$14:$G$14)*(LN('I14'!$L25)+($C$16*'I14'!$M25)))))))</f>
        <v>0.12148122596863885</v>
      </c>
      <c r="H42" s="96">
        <f>IF($B$104=0,IF($AB$52=0,SUM($C$14/SUM($C$14:$G$14)*('ASK14'!$E25*EXP(-Main!$C$16*'ASK14'!$F25)),$D$14/SUM($C$14:$G$14)*(BSSA14!$S25*EXP(-Main!$C$16*BSSA14!$T25)),$E$14/SUM($C$14:$G$14)*('CB14'!$Y25*EXP(-Main!$C$16*'CB14'!$Z25)),$F$14/SUM($C$14:$G$14)*('CY14'!$U25*EXP(-Main!$C$16*'CY14'!$V25)),$G$14/SUM($C$14:$G$14)*('I14'!$L25*EXP(-Main!$C$16*'I14'!$M25))),SUM($C$14/SUM($C$14:$G$14)*('ASK14'!$E25*EXP(-Main!$C$16*'ASK14'!$F25)),$D$14/SUM($C$14:$G$14)*(BSSA14!$S25*EXP(-Main!$C$16*BSSA14!$T25)),$E$14/SUM($C$14:$G$14)*('CB14'!$Y25*EXP(-Main!$C$16*'CB14'!$Z25)),$F$14/SUM($C$14:$G$14)*('CY14'!$U25*EXP(-Main!$C$16*'CY14'!$V25)),$G$14/SUM($C$14:$G$14)*('I14'!$L25*EXP(-Main!$C$16*'I14'!$M25)))),IF($B$104=1,IF($AB$52=0,EXP(SUM($C$14/SUM($C$14:$G$14)*(LN('ASK14'!$E25)-($C$16*'ASK14'!$F25)),$D$14/SUM($C$14:$G$14)*(LN(BSSA14!$S25)-($C$16*BSSA14!$T25)),$E$14/SUM($C$14:$G$14)*(LN('CB14'!$Y25)-($C$16*'CB14'!$Z25)),$F$14/SUM($C$14:$G$14)*(LN('CY14'!$U25)-($C$16*'CY14'!$V25)),$G$14/SUM($C$14:$G$14)*(LN('I14'!$L25)-($C$16*'I14'!$M25)))),EXP(SUM($C$14/SUM($C$14:$G$14)*(LN('ASK14'!$E25)-($C$16*'ASK14'!$F25)),$D$14/SUM($C$14:$G$14)*(LN(BSSA14!$S25)-($C$16*BSSA14!$T25)),$E$14/SUM($C$14:$G$14)*(LN('CB14'!$Y25)-($C$16*'CB14'!$Z25)),$F$14/SUM($C$14:$G$14)*(LN('CY14'!$U25)-($C$16*'CY14'!$V25)),$G$14/SUM($C$14:$G$14)*(LN('I14'!$L25)-($C$16*'I14'!$M25)))))))</f>
        <v>3.0069183455861622E-2</v>
      </c>
      <c r="I42" s="96">
        <f t="shared" si="0"/>
        <v>84.392580410392725</v>
      </c>
      <c r="J42" s="96">
        <f>DSF!$S41*Main!F42</f>
        <v>6.0196984853010331E-2</v>
      </c>
      <c r="K42" s="96">
        <f>DSF!$S41*Main!G42</f>
        <v>0.12099530106476429</v>
      </c>
      <c r="L42" s="96">
        <f>DSF!$S41*Main!H42</f>
        <v>2.9948906722038177E-2</v>
      </c>
      <c r="M42" s="96">
        <f>DSF!$S41*Main!I42</f>
        <v>84.05501008875116</v>
      </c>
      <c r="N42" s="29"/>
      <c r="O42" s="29"/>
      <c r="P42" s="29"/>
      <c r="Q42" s="29"/>
      <c r="R42" s="29"/>
      <c r="S42" s="29"/>
      <c r="T42" s="29"/>
      <c r="U42" s="29"/>
      <c r="V42" s="29"/>
      <c r="W42" s="334"/>
      <c r="Z42" s="308" t="s">
        <v>346</v>
      </c>
      <c r="AA42" s="29" t="s">
        <v>366</v>
      </c>
      <c r="AB42" s="260">
        <f>IF(AND($F$14&lt;&gt;0,$C$24="! Not Applicable !"),1,0)</f>
        <v>0</v>
      </c>
    </row>
    <row r="43" spans="1:29" x14ac:dyDescent="0.45">
      <c r="A43" s="334"/>
      <c r="B43" s="178"/>
      <c r="C43" s="278"/>
      <c r="D43" s="364"/>
      <c r="E43" s="291">
        <v>10</v>
      </c>
      <c r="F43" s="96">
        <f>IF($B$104=0,IF($AB$52=0,SUM($C$14/SUM($C$14:$G$14)*'ASK14'!$E26,$D$14/SUM($C$14:$G$14)*BSSA14!$S26,$E$14/SUM($C$14:$G$14)*'CB14'!$Y26,$F$14/SUM($C$14:$G$14)*'CY14'!$U26,$G$14/SUM($C$14:$G$14)*'I14'!$L26),SUM($C$14/SUM($C$14:$G$14)*'ASK14'!$E26,$D$14/SUM($C$14:$G$14)*BSSA14!$S26,$E$14/SUM($C$14:$G$14)*'CB14'!$Y26,$F$14/SUM($C$14:$G$14)*'CY14'!$U26,$G$14/SUM($C$14:$G$14)*'I14'!$L26)),IF($B$104=1,IF($AB$52=0,EXP(SUM($C$14/SUM($C$14:$G$14)*LN('ASK14'!$E26),$D$14/SUM($C$14:$G$14)*LN(BSSA14!$S26),$E$14/SUM($C$14:$G$14)*LN('CB14'!$Y26),$F$14/SUM($C$14:$G$14)*LN('CY14'!$U26),$G$14/SUM($C$14:$G$14)*LN('I14'!$L26))),EXP(SUM($C$14/SUM($C$14:$G$14)*LN('ASK14'!$E26),$D$14/SUM($C$14:$G$14)*LN(BSSA14!$S26),$E$14/SUM($C$14:$G$14)*LN('CB14'!$Y26),$F$14/SUM($C$14:$G$14)*LN('CY14'!$U26),$G$14/SUM($C$14:$G$14)*LN('I14'!$L26))))))</f>
        <v>3.6305061412925804E-2</v>
      </c>
      <c r="G43" s="96">
        <f>IF($B$104=0,IF($AB$52=0,SUM($C$14/SUM($C$14:$G$14)*('ASK14'!$E26*EXP(Main!$C$16*'ASK14'!$F26)),$D$14/SUM($C$14:$G$14)*(BSSA14!$S26*EXP(Main!$C$16*BSSA14!$T26)),$E$14/SUM($C$14:$G$14)*('CB14'!$Y26*EXP(Main!$C$16*'CB14'!$Z26)),$F$14/SUM($C$14:$G$14)*('CY14'!$U26*EXP(Main!$C$16*'CY14'!$V26)),$G$14/SUM($C$14:$G$14)*('I14'!$L26*EXP(Main!$C$16*'I14'!$M26))),SUM($C$14/SUM($C$14:$G$14)*('ASK14'!$E26*EXP(Main!$C$16*'ASK14'!$F26)),$D$14/SUM($C$14:$G$14)*(BSSA14!$S26*EXP(Main!$C$16*BSSA14!$T26)),$E$14/SUM($C$14:$G$14)*('CB14'!$Y26*EXP(Main!$C$16*'CB14'!$Z26)),$F$14/SUM($C$14:$G$14)*('CY14'!$U26*EXP(Main!$C$16*'CY14'!$V26)),$G$14/SUM($C$14:$G$14)*('I14'!$L26*EXP(Main!$C$16*'I14'!$M26)))),IF($B$104=1,IF($AB$52=0,EXP(SUM($C$14/SUM($C$14:$G$14)*(LN('ASK14'!$E26)+($C$16*'ASK14'!$F26)),$D$14/SUM($C$14:$G$14)*(LN(BSSA14!$S26)+($C$16*BSSA14!$T26)),$E$14/SUM($C$14:$G$14)*(LN('CB14'!$Y26)+($C$16*'CB14'!$Z26)),$F$14/SUM($C$14:$G$14)*(LN('CY14'!$U26)+($C$16*'CY14'!$V26)),$G$14/SUM($C$14:$G$14)*(LN('I14'!$L26)+($C$16*'I14'!$M26)))),EXP(SUM($C$14/SUM($C$14:$G$14)*(LN('ASK14'!$E26)+($C$16*'ASK14'!$F26)),$D$14/SUM($C$14:$G$14)*(LN(BSSA14!$S26)+($C$16*BSSA14!$T26)),$E$14/SUM($C$14:$G$14)*(LN('CB14'!$Y26)+($C$16*'CB14'!$Z26)),$F$14/SUM($C$14:$G$14)*(LN('CY14'!$U26)+($C$16*'CY14'!$V26)),$G$14/SUM($C$14:$G$14)*(LN('I14'!$L26)+($C$16*'I14'!$M26)))))))</f>
        <v>7.2135963578570009E-2</v>
      </c>
      <c r="H43" s="96">
        <f>IF($B$104=0,IF($AB$52=0,SUM($C$14/SUM($C$14:$G$14)*('ASK14'!$E26*EXP(-Main!$C$16*'ASK14'!$F26)),$D$14/SUM($C$14:$G$14)*(BSSA14!$S26*EXP(-Main!$C$16*BSSA14!$T26)),$E$14/SUM($C$14:$G$14)*('CB14'!$Y26*EXP(-Main!$C$16*'CB14'!$Z26)),$F$14/SUM($C$14:$G$14)*('CY14'!$U26*EXP(-Main!$C$16*'CY14'!$V26)),$G$14/SUM($C$14:$G$14)*('I14'!$L26*EXP(-Main!$C$16*'I14'!$M26))),SUM($C$14/SUM($C$14:$G$14)*('ASK14'!$E26*EXP(-Main!$C$16*'ASK14'!$F26)),$D$14/SUM($C$14:$G$14)*(BSSA14!$S26*EXP(-Main!$C$16*BSSA14!$T26)),$E$14/SUM($C$14:$G$14)*('CB14'!$Y26*EXP(-Main!$C$16*'CB14'!$Z26)),$F$14/SUM($C$14:$G$14)*('CY14'!$U26*EXP(-Main!$C$16*'CY14'!$V26)),$G$14/SUM($C$14:$G$14)*('I14'!$L26*EXP(-Main!$C$16*'I14'!$M26)))),IF($B$104=1,IF($AB$52=0,EXP(SUM($C$14/SUM($C$14:$G$14)*(LN('ASK14'!$E26)-($C$16*'ASK14'!$F26)),$D$14/SUM($C$14:$G$14)*(LN(BSSA14!$S26)-($C$16*BSSA14!$T26)),$E$14/SUM($C$14:$G$14)*(LN('CB14'!$Y26)-($C$16*'CB14'!$Z26)),$F$14/SUM($C$14:$G$14)*(LN('CY14'!$U26)-($C$16*'CY14'!$V26)),$G$14/SUM($C$14:$G$14)*(LN('I14'!$L26)-($C$16*'I14'!$M26)))),EXP(SUM($C$14/SUM($C$14:$G$14)*(LN('ASK14'!$E26)-($C$16*'ASK14'!$F26)),$D$14/SUM($C$14:$G$14)*(LN(BSSA14!$S26)-($C$16*BSSA14!$T26)),$E$14/SUM($C$14:$G$14)*(LN('CB14'!$Y26)-($C$16*'CB14'!$Z26)),$F$14/SUM($C$14:$G$14)*(LN('CY14'!$U26)-($C$16*'CY14'!$V26)),$G$14/SUM($C$14:$G$14)*(LN('I14'!$L26)-($C$16*'I14'!$M26)))))))</f>
        <v>1.8271849696174014E-2</v>
      </c>
      <c r="I43" s="96">
        <f t="shared" si="0"/>
        <v>90.122558966852466</v>
      </c>
      <c r="J43" s="96">
        <f>DSF!$S42*Main!F43</f>
        <v>3.6123536105861172E-2</v>
      </c>
      <c r="K43" s="96">
        <f>DSF!$S42*Main!G43</f>
        <v>7.1775283760677155E-2</v>
      </c>
      <c r="L43" s="96">
        <f>DSF!$S42*Main!H43</f>
        <v>1.8180490447693144E-2</v>
      </c>
      <c r="M43" s="96">
        <f>DSF!$S42*Main!I43</f>
        <v>89.67194617201821</v>
      </c>
      <c r="N43" s="29"/>
      <c r="O43" s="29"/>
      <c r="P43" s="29"/>
      <c r="Q43" s="29"/>
      <c r="R43" s="29"/>
      <c r="S43" s="29"/>
      <c r="T43" s="29"/>
      <c r="U43" s="29"/>
      <c r="V43" s="29"/>
      <c r="W43" s="334"/>
      <c r="Z43" s="308" t="s">
        <v>347</v>
      </c>
      <c r="AA43" s="29" t="s">
        <v>367</v>
      </c>
      <c r="AB43" s="260">
        <f>IF(AND($F$14&lt;&gt;0,$C$24="! Not Applicable !"),1,0)</f>
        <v>0</v>
      </c>
    </row>
    <row r="44" spans="1:29" ht="16.149999999999999" x14ac:dyDescent="0.45">
      <c r="A44" s="334"/>
      <c r="B44" s="267" t="s">
        <v>209</v>
      </c>
      <c r="C44" s="280" t="s">
        <v>403</v>
      </c>
      <c r="D44" s="295"/>
      <c r="E44" s="291"/>
      <c r="F44" s="338"/>
      <c r="G44" s="338"/>
      <c r="H44" s="338"/>
      <c r="I44" s="338"/>
      <c r="J44" s="96"/>
      <c r="K44" s="96"/>
      <c r="L44" s="96"/>
      <c r="M44" s="58"/>
      <c r="N44" s="29"/>
      <c r="O44" s="29"/>
      <c r="P44" s="29"/>
      <c r="Q44" s="29"/>
      <c r="R44" s="29"/>
      <c r="S44" s="29"/>
      <c r="T44" s="29"/>
      <c r="U44" s="29"/>
      <c r="V44" s="29"/>
      <c r="W44" s="334"/>
      <c r="Z44" s="308" t="s">
        <v>348</v>
      </c>
      <c r="AA44" s="29" t="s">
        <v>354</v>
      </c>
      <c r="AB44" s="260">
        <f>IF(AND($F$14&lt;&gt;0,$C$27="! Not Applicable !"),1,0)</f>
        <v>0</v>
      </c>
    </row>
    <row r="45" spans="1:29" x14ac:dyDescent="0.45">
      <c r="A45" s="334"/>
      <c r="B45" s="196">
        <v>0</v>
      </c>
      <c r="C45" s="278" t="str">
        <f>IF(AND($B$45=1,$B$48=1),"Choose 1 for either of Frv or Fnm","")</f>
        <v/>
      </c>
      <c r="D45" s="296" t="s">
        <v>34</v>
      </c>
      <c r="E45" s="291">
        <v>0</v>
      </c>
      <c r="F45" s="96">
        <f>IF($B$104=0,IF($AB$52=0,SUM($C$14/SUM($C$14:$G$14)*'ASK14'!$E28,$D$14/SUM($C$14:$G$14)*BSSA14!$S28,$E$14/SUM($C$14:$G$14)*'CB14'!$Y28,$F$14/SUM($C$14:$G$14)*'CY14'!$U28,$G$14/SUM($C$14:$G$14)*'I14'!$L28),SUM($C$14/SUM($C$14:$G$14)*'ASK14'!$E28,$D$14/SUM($C$14:$G$14)*BSSA14!$S28,$E$14/SUM($C$14:$G$14)*'CB14'!$Y28,$F$14/SUM($C$14:$G$14)*'CY14'!$U28,$G$14/SUM($C$14:$G$14)*'I14'!$L28)),IF($B$104=1,IF($AB$52=0,EXP(SUM($C$14/SUM($C$14:$G$14)*LN('ASK14'!$E28),$D$14/SUM($C$14:$G$14)*LN(BSSA14!$S28),$E$14/SUM($C$14:$G$14)*LN('CB14'!$Y28),$F$14/SUM($C$14:$G$14)*LN('CY14'!$U28),$G$14/SUM($C$14:$G$14)*LN('I14'!$L28))),EXP(SUM($C$14/SUM($C$14:$G$14)*LN('ASK14'!$E28),$D$14/SUM($C$14:$G$14)*LN(BSSA14!$S28),$E$14/SUM($C$14:$G$14)*LN('CB14'!$Y28),$F$14/SUM($C$14:$G$14)*LN('CY14'!$U28),$G$14/SUM($C$14:$G$14)*LN('I14'!$L28))))))</f>
        <v>0.34035354489015662</v>
      </c>
      <c r="G45" s="96">
        <f>IF($B$104=0,IF($AB$52=0,SUM($C$14/SUM($C$14:$G$14)*('ASK14'!$E28*EXP(Main!$C$16*'ASK14'!$F28)),$D$14/SUM($C$14:$G$14)*(BSSA14!$S28*EXP(Main!$C$16*BSSA14!$T28)),$E$14/SUM($C$14:$G$14)*('CB14'!$Y28*EXP(Main!$C$16*'CB14'!$Z28)),$F$14/SUM($C$14:$G$14)*('CY14'!$U28*EXP(Main!$C$16*'CY14'!$V28)),$G$14/SUM($C$14:$G$14)*('I14'!$L28*EXP(Main!$C$16*'I14'!$M28))),SUM($C$14/SUM($C$14:$G$14)*('ASK14'!$E28*EXP(Main!$C$16*'ASK14'!$F28)),$D$14/SUM($C$14:$G$14)*(BSSA14!$S28*EXP(Main!$C$16*BSSA14!$T28)),$E$14/SUM($C$14:$G$14)*('CB14'!$Y28*EXP(Main!$C$16*'CB14'!$Z28)),$F$14/SUM($C$14:$G$14)*('CY14'!$U28*EXP(Main!$C$16*'CY14'!$V28)),$G$14/SUM($C$14:$G$14)*('I14'!$L28*EXP(Main!$C$16*'I14'!$M28)))),IF($B$104=1,IF($AB$52=0,EXP(SUM($C$14/SUM($C$14:$G$14)*(LN('ASK14'!$E28)+($C$16*'ASK14'!$F28)),$D$14/SUM($C$14:$G$14)*(LN(BSSA14!$S28)+($C$16*BSSA14!$T28)),$E$14/SUM($C$14:$G$14)*(LN('CB14'!$Y28)+($C$16*'CB14'!$Z28)),$F$14/SUM($C$14:$G$14)*(LN('CY14'!$U28)+($C$16*'CY14'!$V28)),$G$14/SUM($C$14:$G$14)*(LN('I14'!$L28)+($C$16*'I14'!$M28)))),EXP(SUM($C$14/SUM($C$14:$G$14)*(LN('ASK14'!$E28)+($C$16*'ASK14'!$F28)),$D$14/SUM($C$14:$G$14)*(LN(BSSA14!$S28)+($C$16*BSSA14!$T28)),$E$14/SUM($C$14:$G$14)*(LN('CB14'!$Y28)+($C$16*'CB14'!$Z28)),$F$14/SUM($C$14:$G$14)*(LN('CY14'!$U28)+($C$16*'CY14'!$V28)),$G$14/SUM($C$14:$G$14)*(LN('I14'!$L28)+($C$16*'I14'!$M28)))))))</f>
        <v>0.59291091864549539</v>
      </c>
      <c r="H45" s="96">
        <f>IF($B$104=0,IF($AB$52=0,SUM($C$14/SUM($C$14:$G$14)*('ASK14'!$E28*EXP(-Main!$C$16*'ASK14'!$F28)),$D$14/SUM($C$14:$G$14)*(BSSA14!$S28*EXP(-Main!$C$16*BSSA14!$T28)),$E$14/SUM($C$14:$G$14)*('CB14'!$Y28*EXP(-Main!$C$16*'CB14'!$Z28)),$F$14/SUM($C$14:$G$14)*('CY14'!$U28*EXP(-Main!$C$16*'CY14'!$V28)),$G$14/SUM($C$14:$G$14)*('I14'!$L28*EXP(-Main!$C$16*'I14'!$M28))),SUM($C$14/SUM($C$14:$G$14)*('ASK14'!$E28*EXP(-Main!$C$16*'ASK14'!$F28)),$D$14/SUM($C$14:$G$14)*(BSSA14!$S28*EXP(-Main!$C$16*BSSA14!$T28)),$E$14/SUM($C$14:$G$14)*('CB14'!$Y28*EXP(-Main!$C$16*'CB14'!$Z28)),$F$14/SUM($C$14:$G$14)*('CY14'!$U28*EXP(-Main!$C$16*'CY14'!$V28)),$G$14/SUM($C$14:$G$14)*('I14'!$L28*EXP(-Main!$C$16*'I14'!$M28)))),IF($B$104=1,IF($AB$52=0,EXP(SUM($C$14/SUM($C$14:$G$14)*(LN('ASK14'!$E28)-($C$16*'ASK14'!$F28)),$D$14/SUM($C$14:$G$14)*(LN(BSSA14!$S28)-($C$16*BSSA14!$T28)),$E$14/SUM($C$14:$G$14)*(LN('CB14'!$Y28)-($C$16*'CB14'!$Z28)),$F$14/SUM($C$14:$G$14)*(LN('CY14'!$U28)-($C$16*'CY14'!$V28)),$G$14/SUM($C$14:$G$14)*(LN('I14'!$L28)-($C$16*'I14'!$M28)))),EXP(SUM($C$14/SUM($C$14:$G$14)*(LN('ASK14'!$E28)-($C$16*'ASK14'!$F28)),$D$14/SUM($C$14:$G$14)*(LN(BSSA14!$S28)-($C$16*BSSA14!$T28)),$E$14/SUM($C$14:$G$14)*(LN('CB14'!$Y28)-($C$16*'CB14'!$Z28)),$F$14/SUM($C$14:$G$14)*(LN('CY14'!$U28)-($C$16*'CY14'!$V28)),$G$14/SUM($C$14:$G$14)*(LN('I14'!$L28)-($C$16*'I14'!$M28)))))))</f>
        <v>0.19537595256962623</v>
      </c>
      <c r="I45" s="96">
        <f>($F45*980)/(2*PI()/$E$23)^2</f>
        <v>8.4488308861583716E-4</v>
      </c>
      <c r="J45" s="96">
        <f>F45*DSF!$S$22</f>
        <v>0.34035354489015662</v>
      </c>
      <c r="K45" s="96">
        <f>G45*DSF!$S$22</f>
        <v>0.59291091864549539</v>
      </c>
      <c r="L45" s="96">
        <f>H45*DSF!$S$22</f>
        <v>0.19537595256962623</v>
      </c>
      <c r="M45" s="96">
        <f>I45*DSF!$S$22</f>
        <v>8.4488308861583716E-4</v>
      </c>
      <c r="N45" s="29"/>
      <c r="O45" s="29"/>
      <c r="P45" s="29"/>
      <c r="Q45" s="29"/>
      <c r="R45" s="29"/>
      <c r="S45" s="29"/>
      <c r="T45" s="29"/>
      <c r="U45" s="29"/>
      <c r="V45" s="29"/>
      <c r="W45" s="334"/>
      <c r="Z45" s="308" t="s">
        <v>293</v>
      </c>
      <c r="AA45" s="29" t="s">
        <v>369</v>
      </c>
      <c r="AB45" s="260">
        <f>IF(AND($F$14&lt;&gt;0,$C$39="Out of Range! Use 760 m/s"),1,0)</f>
        <v>0</v>
      </c>
    </row>
    <row r="46" spans="1:29" x14ac:dyDescent="0.45">
      <c r="A46" s="334"/>
      <c r="B46" s="179"/>
      <c r="C46" s="278"/>
      <c r="D46" s="296" t="s">
        <v>35</v>
      </c>
      <c r="E46" s="291">
        <v>-1</v>
      </c>
      <c r="F46" s="96">
        <f>IF($B$104=0,IF($AB$52=0,SUM($C$14/SUM($C$14:$G$14)*'ASK14'!$E29,$D$14/SUM($C$14:$G$14)*BSSA14!$S29,$E$14/SUM($C$14:$G$14)*'CB14'!$Y29,$F$14/SUM($C$14:$G$14)*'CY14'!$U29),SUM($C$14/SUM($C$14:$G$14)*'ASK14'!$E29,$D$14/SUM($C$14:$G$14)*BSSA14!$S29,$E$14/SUM($C$14:$G$14)*'CB14'!$Y29,$F$14/SUM($C$14:$G$14)*'CY14'!$U29)),IF($B$104=1,IF($AB$52=0,EXP(SUM($C$14/SUM($C$14:$G$14)*LN('ASK14'!$E29),$D$14/SUM($C$14:$G$14)*LN(BSSA14!$S29),$E$14/SUM($C$14:$G$14)*LN('CB14'!$Y29),$F$14/SUM($C$14:$G$14)*LN('CY14'!$U29))),EXP(SUM($C$14/SUM($C$14:$G$14)*LN('ASK14'!$E29),$D$14/SUM($C$14:$G$14)*LN(BSSA14!$S29),$E$14/SUM($C$14:$G$14)*LN('CB14'!$Y29),$F$14/SUM($C$14:$G$14)*LN('CY14'!$U29))))))</f>
        <v>51.376750464371511</v>
      </c>
      <c r="G46" s="96">
        <f>IF($B$104=0,IF($AB$52=0,SUM($C$14/SUM($C$14:$G$14)*('ASK14'!$E29*EXP(Main!$C$16*'ASK14'!$F29)),$D$14/SUM($C$14:$G$14)*(BSSA14!$S29*EXP(Main!$C$16*BSSA14!$T29)),$E$14/SUM($C$14:$G$14)*('CB14'!$Y29*EXP(Main!$C$16*'CB14'!$Z29)),$F$14/SUM($C$14:$G$14)*('CY14'!$U29*EXP(Main!$C$16*'CY14'!$V29))),SUM($C$14/SUM($C$14:$G$14)*('ASK14'!$E29*EXP(Main!$C$16*'ASK14'!$F29)),$D$14/SUM($C$14:$G$14)*(BSSA14!$S29*EXP(Main!$C$16*BSSA14!$T29)),$E$14/SUM($C$14:$G$14)*('CB14'!$Y29*EXP(Main!$C$16*'CB14'!$Z29)),$F$14/SUM($C$14:$G$14)*('CY14'!$U29*EXP(Main!$C$16*'CY14'!$V29)))),IF($B$104=1,IF($AB$52=0,EXP(SUM($C$14/SUM($C$14:$G$14)*(LN('ASK14'!$E29)+($C$16*'ASK14'!$F29)),$D$14/SUM($C$14:$G$14)*(LN(BSSA14!$S29)+($C$16*BSSA14!$T29)),$E$14/SUM($C$14:$G$14)*(LN('CB14'!$Y29)+($C$16*'CB14'!$Z29)),$F$14/SUM($C$14:$G$14)*(LN('CY14'!$U29)+($C$16*'CY14'!$V29)))),EXP(SUM($C$14/SUM($C$14:$G$14)*(LN('ASK14'!$E29)+($C$16*'ASK14'!$F29)),$D$14/SUM($C$14:$G$14)*(LN(BSSA14!$S29)+($C$16*BSSA14!$T29)),$E$14/SUM($C$14:$G$14)*(LN('CB14'!$Y29)+($C$16*'CB14'!$Z29)),$F$14/SUM($C$14:$G$14)*(LN('CY14'!$U29)+($C$16*'CY14'!$V29)))))))</f>
        <v>93.167165487505102</v>
      </c>
      <c r="H46" s="96">
        <f>IF($B$104=0,IF($AB$52=0,SUM($C$14/SUM($C$14:$G$14)*('ASK14'!$E29*EXP(-Main!$C$16*'ASK14'!$F29)),$D$14/SUM($C$14:$G$14)*(BSSA14!$S29*EXP(-Main!$C$16*BSSA14!$T29)),$E$14/SUM($C$14:$G$14)*('CB14'!$Y29*EXP(-Main!$C$16*'CB14'!$Z29)),$F$14/SUM($C$14:$G$14)*('CY14'!$U29*EXP(-Main!$C$16*'CY14'!$V29))),SUM($C$14/SUM($C$14:$G$14)*('ASK14'!$E29*EXP(-Main!$C$16*'ASK14'!$F29)),$D$14/SUM($C$14:$G$14)*(BSSA14!$S29*EXP(-Main!$C$16*BSSA14!$T29)),$E$14/SUM($C$14:$G$14)*('CB14'!$Y29*EXP(-Main!$C$16*'CB14'!$Z29)),$F$14/SUM($C$14:$G$14)*('CY14'!$U29*EXP(-Main!$C$16*'CY14'!$V29)))),IF($B$104=1,IF($AB$52=0,EXP(SUM($C$14/SUM($C$14:$G$14)*(LN('ASK14'!$E29)-($C$16*'ASK14'!$F29)),$D$14/SUM($C$14:$G$14)*(LN(BSSA14!$S29)-($C$16*BSSA14!$T29)),$E$14/SUM($C$14:$G$14)*(LN('CB14'!$Y29)-($C$16*'CB14'!$Z29)),$F$14/SUM($C$14:$G$14)*(LN('CY14'!$U29)-($C$16*'CY14'!$V29)))),EXP(SUM($C$14/SUM($C$14:$G$14)*(LN('ASK14'!$E29)-($C$16*'ASK14'!$F29)),$D$14/SUM($C$14:$G$14)*(LN(BSSA14!$S29)-($C$16*BSSA14!$T29)),$E$14/SUM($C$14:$G$14)*(LN('CB14'!$Y29)-($C$16*'CB14'!$Z29)),$F$14/SUM($C$14:$G$14)*(LN('CY14'!$U29)-($C$16*'CY14'!$V29)))))))</f>
        <v>28.33155301512631</v>
      </c>
      <c r="I46" s="96">
        <f>($F46*980)/(2*PI()/$E$23)^2</f>
        <v>0.12753605263430512</v>
      </c>
      <c r="J46" s="58" t="s">
        <v>533</v>
      </c>
      <c r="K46" s="58" t="s">
        <v>533</v>
      </c>
      <c r="L46" s="58" t="s">
        <v>533</v>
      </c>
      <c r="M46" s="58" t="s">
        <v>533</v>
      </c>
      <c r="P46" s="29"/>
      <c r="Q46" s="29"/>
      <c r="R46" s="29"/>
      <c r="S46" s="29"/>
      <c r="T46" s="29"/>
      <c r="U46" s="29"/>
      <c r="V46" s="29"/>
      <c r="W46" s="334"/>
      <c r="Z46" s="308" t="s">
        <v>338</v>
      </c>
      <c r="AA46" s="29" t="s">
        <v>368</v>
      </c>
      <c r="AB46" s="260">
        <f>IF(AND($F$14&lt;&gt;0,$C$63="Out of Range! Use 760 m/s"),1,0)</f>
        <v>0</v>
      </c>
    </row>
    <row r="47" spans="1:29" ht="16.149999999999999" x14ac:dyDescent="0.45">
      <c r="A47" s="334"/>
      <c r="B47" s="267" t="s">
        <v>210</v>
      </c>
      <c r="C47" s="280" t="s">
        <v>402</v>
      </c>
      <c r="P47" s="29"/>
      <c r="Q47" s="29"/>
      <c r="R47" s="29"/>
      <c r="S47" s="29"/>
      <c r="T47" s="29"/>
      <c r="U47" s="29"/>
      <c r="V47" s="29"/>
      <c r="W47" s="334"/>
      <c r="Z47" s="308" t="s">
        <v>362</v>
      </c>
      <c r="AA47" s="29" t="s">
        <v>352</v>
      </c>
      <c r="AB47" s="260">
        <f>IF(AND($F$14&lt;&gt;0,$C$57="Out of Range! Use 760 m/s"),1,0)</f>
        <v>0</v>
      </c>
    </row>
    <row r="48" spans="1:29" x14ac:dyDescent="0.45">
      <c r="A48" s="334"/>
      <c r="B48" s="196">
        <v>0</v>
      </c>
      <c r="C48" s="282"/>
      <c r="D48" s="1"/>
      <c r="P48" s="29"/>
      <c r="Q48" s="29"/>
      <c r="R48" s="29"/>
      <c r="S48" s="29"/>
      <c r="T48" s="29"/>
      <c r="U48" s="29"/>
      <c r="V48" s="29"/>
      <c r="W48" s="334"/>
      <c r="Y48" s="309" t="s">
        <v>298</v>
      </c>
      <c r="Z48" s="207" t="s">
        <v>358</v>
      </c>
      <c r="AA48" s="29" t="s">
        <v>371</v>
      </c>
      <c r="AB48" s="260">
        <f>IF(AND($G$14&lt;&gt;0,$C$24="! Not Applicable !"),1,0)</f>
        <v>0</v>
      </c>
      <c r="AC48">
        <f>SUM(AB48:AB50)</f>
        <v>0</v>
      </c>
    </row>
    <row r="49" spans="1:28" x14ac:dyDescent="0.45">
      <c r="A49" s="334"/>
      <c r="B49" s="179"/>
      <c r="C49" s="278"/>
      <c r="D49" s="1"/>
      <c r="P49" s="29"/>
      <c r="Q49" s="29"/>
      <c r="R49" s="29"/>
      <c r="S49" s="29"/>
      <c r="T49" s="29"/>
      <c r="U49" s="29"/>
      <c r="V49" s="29"/>
      <c r="W49" s="334"/>
      <c r="Z49" s="308" t="s">
        <v>292</v>
      </c>
      <c r="AA49" s="29" t="s">
        <v>372</v>
      </c>
      <c r="AB49" s="260">
        <f>IF(AND($G$14&lt;&gt;0,$C$27="! Not Applicable !"),1,0)</f>
        <v>0</v>
      </c>
    </row>
    <row r="50" spans="1:28" ht="16.149999999999999" x14ac:dyDescent="0.45">
      <c r="A50" s="334"/>
      <c r="B50" s="267" t="s">
        <v>211</v>
      </c>
      <c r="C50" s="280" t="s">
        <v>401</v>
      </c>
      <c r="D50" s="1"/>
      <c r="P50" s="29"/>
      <c r="Q50" s="29"/>
      <c r="R50" s="29"/>
      <c r="S50" s="29"/>
      <c r="T50" s="29"/>
      <c r="U50" s="29"/>
      <c r="V50" s="29"/>
      <c r="W50" s="334"/>
      <c r="X50" s="29"/>
      <c r="Z50" s="308" t="s">
        <v>293</v>
      </c>
      <c r="AA50" s="29" t="s">
        <v>373</v>
      </c>
      <c r="AB50" s="260">
        <f>IF(AND($G$14&lt;&gt;0,$C$39="Out of Range! Use 760 m/s"),1,0)</f>
        <v>0</v>
      </c>
    </row>
    <row r="51" spans="1:28" x14ac:dyDescent="0.45">
      <c r="A51" s="334"/>
      <c r="B51" s="196">
        <v>0</v>
      </c>
      <c r="C51" s="278"/>
      <c r="D51" s="1"/>
      <c r="P51" s="29"/>
      <c r="Q51" s="29"/>
      <c r="R51" s="29"/>
      <c r="S51" s="29"/>
      <c r="T51" s="29"/>
      <c r="U51" s="29"/>
      <c r="V51" s="29"/>
      <c r="W51" s="334"/>
      <c r="X51" s="29"/>
      <c r="AA51" s="29" t="s">
        <v>374</v>
      </c>
      <c r="AB51" s="49"/>
    </row>
    <row r="52" spans="1:28" x14ac:dyDescent="0.45">
      <c r="A52" s="334"/>
      <c r="B52" s="179"/>
      <c r="C52" s="278"/>
      <c r="D52" s="1"/>
      <c r="P52" s="29"/>
      <c r="Q52" s="29"/>
      <c r="R52" s="29"/>
      <c r="S52" s="29"/>
      <c r="T52" s="29"/>
      <c r="U52" s="29"/>
      <c r="V52" s="29"/>
      <c r="W52" s="335"/>
      <c r="X52" s="29"/>
      <c r="Y52" s="29"/>
      <c r="AA52" s="308" t="s">
        <v>379</v>
      </c>
      <c r="AB52" s="310">
        <f>SUM(AB23:AB50)</f>
        <v>0</v>
      </c>
    </row>
    <row r="53" spans="1:28" x14ac:dyDescent="0.45">
      <c r="A53" s="334"/>
      <c r="B53" s="268" t="s">
        <v>284</v>
      </c>
      <c r="C53" s="278"/>
      <c r="D53" s="1"/>
      <c r="P53" s="29"/>
      <c r="Q53" s="29"/>
      <c r="R53" s="29"/>
      <c r="S53" s="29"/>
      <c r="T53" s="29"/>
      <c r="U53" s="29"/>
      <c r="V53" s="29"/>
      <c r="W53" s="335"/>
      <c r="X53" s="29"/>
    </row>
    <row r="54" spans="1:28" x14ac:dyDescent="0.45">
      <c r="A54" s="334"/>
      <c r="B54" s="196">
        <v>90</v>
      </c>
      <c r="C54" s="278"/>
      <c r="D54" s="1"/>
      <c r="P54" s="29"/>
      <c r="Q54" s="29"/>
      <c r="R54" s="29"/>
      <c r="S54" s="29"/>
      <c r="T54" s="29"/>
      <c r="U54" s="29"/>
      <c r="V54" s="29"/>
      <c r="W54" s="335"/>
      <c r="X54" s="29"/>
    </row>
    <row r="55" spans="1:28" x14ac:dyDescent="0.45">
      <c r="A55" s="334"/>
      <c r="B55" s="178"/>
      <c r="C55" s="251"/>
      <c r="D55" s="1"/>
      <c r="P55" s="29"/>
      <c r="Q55" s="29"/>
      <c r="R55" s="29"/>
      <c r="S55" s="29"/>
      <c r="T55" s="29"/>
      <c r="U55" s="29"/>
      <c r="V55" s="29"/>
      <c r="W55" s="335"/>
      <c r="X55" s="29"/>
    </row>
    <row r="56" spans="1:28" ht="16.149999999999999" x14ac:dyDescent="0.45">
      <c r="A56" s="334"/>
      <c r="B56" s="267" t="s">
        <v>212</v>
      </c>
      <c r="C56" s="280" t="s">
        <v>279</v>
      </c>
      <c r="D56" s="1"/>
      <c r="P56" s="29"/>
      <c r="Q56" s="29"/>
      <c r="R56" s="29"/>
      <c r="S56" s="29"/>
      <c r="T56" s="29"/>
      <c r="U56" s="29"/>
      <c r="V56" s="29"/>
      <c r="W56" s="334"/>
    </row>
    <row r="57" spans="1:28" x14ac:dyDescent="0.45">
      <c r="A57" s="334"/>
      <c r="B57" s="200">
        <v>0.3</v>
      </c>
      <c r="C57" s="278"/>
      <c r="W57" s="334"/>
      <c r="Y57" s="311" t="s">
        <v>333</v>
      </c>
      <c r="Z57" s="311">
        <v>0</v>
      </c>
    </row>
    <row r="58" spans="1:28" x14ac:dyDescent="0.45">
      <c r="A58" s="334"/>
      <c r="B58" s="179"/>
      <c r="C58" s="278"/>
      <c r="W58" s="334"/>
      <c r="Y58" s="311" t="s">
        <v>332</v>
      </c>
      <c r="Z58" s="311">
        <v>1</v>
      </c>
    </row>
    <row r="59" spans="1:28" ht="15" x14ac:dyDescent="0.45">
      <c r="A59" s="334"/>
      <c r="B59" s="267" t="s">
        <v>586</v>
      </c>
      <c r="C59" s="280" t="s">
        <v>279</v>
      </c>
      <c r="W59" s="334"/>
      <c r="Y59" s="29"/>
      <c r="Z59" s="29"/>
    </row>
    <row r="60" spans="1:28" x14ac:dyDescent="0.45">
      <c r="A60" s="334"/>
      <c r="B60" s="269">
        <v>999</v>
      </c>
      <c r="C60" s="278" t="str">
        <f>IF($C$14&lt;&gt;0,'ASK14'!$B$21,IF($D$14&lt;&gt;0,BSSA14!$B$15,IF($E$14&lt;&gt;0,'CB14'!$B$18,IF($F$14&lt;&gt;0,'CY14'!$B$18,IF($G$14&lt;&gt;0,'I14'!$B$12,"")))))</f>
        <v/>
      </c>
      <c r="W60" s="334"/>
      <c r="Y60" s="312" t="s">
        <v>220</v>
      </c>
      <c r="Z60" s="311"/>
    </row>
    <row r="61" spans="1:28" x14ac:dyDescent="0.45">
      <c r="A61" s="334"/>
      <c r="B61" s="178"/>
      <c r="C61" s="278"/>
      <c r="W61" s="334"/>
      <c r="Y61" s="313">
        <f>VLOOKUP(B72,Y57:Z58,2)</f>
        <v>0</v>
      </c>
      <c r="Z61" s="311" t="str">
        <f>B72</f>
        <v>inferred</v>
      </c>
    </row>
    <row r="62" spans="1:28" ht="16.149999999999999" x14ac:dyDescent="0.45">
      <c r="A62" s="334"/>
      <c r="B62" s="270" t="s">
        <v>288</v>
      </c>
      <c r="C62" s="280" t="s">
        <v>279</v>
      </c>
      <c r="W62" s="334"/>
      <c r="Y62" s="29"/>
      <c r="Z62" s="29"/>
    </row>
    <row r="63" spans="1:28" x14ac:dyDescent="0.45">
      <c r="A63" s="334"/>
      <c r="B63" s="271">
        <v>0.5</v>
      </c>
      <c r="C63" s="278" t="str">
        <f>IF($C$14&lt;&gt;0,'ASK14'!$B$6,IF($D$14&lt;&gt;0,BSSA14!$B$6,IF($E$14&lt;&gt;0,'CB14'!$B$6,IF($F$14&lt;&gt;0,'CY14'!$B$6,IF($G$14&lt;&gt;0,'I14'!$B$6,"")))))</f>
        <v/>
      </c>
      <c r="W63" s="334"/>
      <c r="Y63" s="311" t="s">
        <v>396</v>
      </c>
      <c r="Z63" s="311">
        <v>0</v>
      </c>
    </row>
    <row r="64" spans="1:28" ht="15" customHeight="1" x14ac:dyDescent="0.45">
      <c r="A64" s="334"/>
      <c r="B64" s="178"/>
      <c r="C64" s="278"/>
      <c r="W64" s="334"/>
      <c r="Y64" s="311"/>
      <c r="Z64" s="311"/>
    </row>
    <row r="65" spans="1:26" ht="15.4" x14ac:dyDescent="0.45">
      <c r="A65" s="334"/>
      <c r="B65" s="267" t="s">
        <v>214</v>
      </c>
      <c r="C65" s="280" t="s">
        <v>279</v>
      </c>
      <c r="W65" s="334"/>
      <c r="Y65" s="29"/>
      <c r="Z65" s="29"/>
    </row>
    <row r="66" spans="1:26" x14ac:dyDescent="0.45">
      <c r="A66" s="334"/>
      <c r="B66" s="200">
        <v>2.52</v>
      </c>
      <c r="C66" s="278" t="str">
        <f>IF($C$14&lt;&gt;0,'ASK14'!$B$6,IF($D$14&lt;&gt;0,BSSA14!$B$6,IF($E$14&lt;&gt;0,'CB14'!$B$6,IF($F$14&lt;&gt;0,'CY14'!$B$6,IF($G$14&lt;&gt;0,'I14'!$B$6,"")))))</f>
        <v/>
      </c>
      <c r="W66" s="334"/>
      <c r="Y66" s="312" t="s">
        <v>381</v>
      </c>
      <c r="Z66" s="311"/>
    </row>
    <row r="67" spans="1:26" x14ac:dyDescent="0.45">
      <c r="A67" s="334"/>
      <c r="B67" s="179"/>
      <c r="C67" s="278"/>
      <c r="W67" s="334"/>
      <c r="Y67" s="313">
        <f>VLOOKUP(B75,Y63:Z64,2)</f>
        <v>0</v>
      </c>
      <c r="Z67" s="311" t="str">
        <f>B75</f>
        <v>no</v>
      </c>
    </row>
    <row r="68" spans="1:26" x14ac:dyDescent="0.45">
      <c r="A68" s="334"/>
      <c r="B68" s="267" t="s">
        <v>215</v>
      </c>
      <c r="C68" s="280" t="s">
        <v>279</v>
      </c>
      <c r="W68" s="334"/>
      <c r="Y68" s="29"/>
      <c r="Z68" s="29"/>
    </row>
    <row r="69" spans="1:26" x14ac:dyDescent="0.45">
      <c r="A69" s="334"/>
      <c r="B69" s="200">
        <v>13</v>
      </c>
      <c r="C69" s="278"/>
      <c r="W69" s="334"/>
      <c r="Y69" s="311" t="s">
        <v>384</v>
      </c>
      <c r="Z69" s="311">
        <v>0</v>
      </c>
    </row>
    <row r="70" spans="1:26" x14ac:dyDescent="0.45">
      <c r="A70" s="334"/>
      <c r="B70" s="176"/>
      <c r="C70" s="278"/>
      <c r="W70" s="334"/>
      <c r="Y70" s="311" t="s">
        <v>595</v>
      </c>
      <c r="Z70" s="311">
        <v>0</v>
      </c>
    </row>
    <row r="71" spans="1:26" x14ac:dyDescent="0.45">
      <c r="A71" s="334"/>
      <c r="B71" s="272" t="s">
        <v>334</v>
      </c>
      <c r="C71" s="280"/>
      <c r="W71" s="334"/>
      <c r="Y71" s="311" t="s">
        <v>591</v>
      </c>
      <c r="Z71" s="311">
        <v>3</v>
      </c>
    </row>
    <row r="72" spans="1:26" ht="15.75" x14ac:dyDescent="0.45">
      <c r="A72" s="334"/>
      <c r="B72" s="273" t="s">
        <v>333</v>
      </c>
      <c r="C72" s="280" t="s">
        <v>803</v>
      </c>
      <c r="W72" s="334"/>
      <c r="Y72" s="311" t="s">
        <v>592</v>
      </c>
      <c r="Z72" s="311">
        <v>1</v>
      </c>
    </row>
    <row r="73" spans="1:26" x14ac:dyDescent="0.45">
      <c r="A73" s="334"/>
      <c r="B73" s="176"/>
      <c r="C73" s="278"/>
      <c r="W73" s="334"/>
      <c r="Y73" s="311" t="s">
        <v>570</v>
      </c>
      <c r="Z73" s="311">
        <v>4</v>
      </c>
    </row>
    <row r="74" spans="1:26" ht="15.75" x14ac:dyDescent="0.45">
      <c r="A74" s="334"/>
      <c r="B74" s="274" t="s">
        <v>274</v>
      </c>
      <c r="C74" s="241"/>
      <c r="G74" s="139" t="s">
        <v>113</v>
      </c>
      <c r="H74" s="321"/>
      <c r="I74" s="139"/>
      <c r="W74" s="334"/>
      <c r="Y74" s="311" t="s">
        <v>596</v>
      </c>
      <c r="Z74" s="311">
        <v>0</v>
      </c>
    </row>
    <row r="75" spans="1:26" x14ac:dyDescent="0.45">
      <c r="A75" s="334"/>
      <c r="B75" s="275" t="s">
        <v>396</v>
      </c>
      <c r="C75" s="280" t="s">
        <v>804</v>
      </c>
      <c r="G75" s="322" t="s">
        <v>336</v>
      </c>
      <c r="H75" s="215" t="s">
        <v>337</v>
      </c>
      <c r="W75" s="334"/>
      <c r="Y75" s="311" t="s">
        <v>594</v>
      </c>
      <c r="Z75" s="311">
        <v>5</v>
      </c>
    </row>
    <row r="76" spans="1:26" x14ac:dyDescent="0.45">
      <c r="A76" s="334"/>
      <c r="B76" s="178"/>
      <c r="C76" s="278"/>
      <c r="G76" s="322" t="s">
        <v>86</v>
      </c>
      <c r="H76" s="215" t="s">
        <v>562</v>
      </c>
      <c r="W76" s="334"/>
      <c r="Y76" s="311" t="s">
        <v>593</v>
      </c>
      <c r="Z76" s="311">
        <v>0</v>
      </c>
    </row>
    <row r="77" spans="1:26" x14ac:dyDescent="0.45">
      <c r="A77" s="334"/>
      <c r="B77" s="270" t="s">
        <v>183</v>
      </c>
      <c r="C77" s="278"/>
      <c r="G77" s="322" t="s">
        <v>87</v>
      </c>
      <c r="H77" s="215" t="s">
        <v>88</v>
      </c>
      <c r="W77" s="334"/>
      <c r="Y77" s="311" t="s">
        <v>386</v>
      </c>
      <c r="Z77" s="311">
        <v>2</v>
      </c>
    </row>
    <row r="78" spans="1:26" x14ac:dyDescent="0.45">
      <c r="A78" s="334"/>
      <c r="B78" s="275" t="s">
        <v>595</v>
      </c>
      <c r="C78" s="280" t="str">
        <f>IF(B78="TWA","Taiwan specific for ASK14","Choose region from the list")</f>
        <v>Choose region from the list</v>
      </c>
      <c r="G78" s="322" t="s">
        <v>100</v>
      </c>
      <c r="H78" s="215" t="s">
        <v>101</v>
      </c>
      <c r="W78" s="334"/>
    </row>
    <row r="79" spans="1:26" ht="15" x14ac:dyDescent="0.45">
      <c r="A79" s="334"/>
      <c r="C79" s="278"/>
      <c r="G79" s="322" t="s">
        <v>414</v>
      </c>
      <c r="H79" s="215" t="s">
        <v>561</v>
      </c>
      <c r="W79" s="334"/>
      <c r="Y79" s="312" t="s">
        <v>183</v>
      </c>
      <c r="Z79" s="314"/>
    </row>
    <row r="80" spans="1:26" ht="15.75" x14ac:dyDescent="0.45">
      <c r="A80" s="334"/>
      <c r="B80" s="378" t="s">
        <v>385</v>
      </c>
      <c r="C80" s="378"/>
      <c r="G80" s="322" t="s">
        <v>587</v>
      </c>
      <c r="H80" s="215" t="s">
        <v>90</v>
      </c>
      <c r="W80" s="334"/>
      <c r="Y80" s="313">
        <f>VLOOKUP($B$78,$Y$69:$Z$77,2)</f>
        <v>0</v>
      </c>
      <c r="Z80" s="315" t="str">
        <f>$B$78</f>
        <v>California</v>
      </c>
    </row>
    <row r="81" spans="1:29" ht="15" x14ac:dyDescent="0.45">
      <c r="A81" s="334"/>
      <c r="C81" s="278"/>
      <c r="G81" s="322" t="s">
        <v>91</v>
      </c>
      <c r="H81" s="323" t="s">
        <v>273</v>
      </c>
      <c r="W81" s="334"/>
      <c r="AC81" s="1"/>
    </row>
    <row r="82" spans="1:29" ht="15" x14ac:dyDescent="0.45">
      <c r="A82" s="334"/>
      <c r="B82" s="4" t="s">
        <v>82</v>
      </c>
      <c r="C82" s="280" t="s">
        <v>569</v>
      </c>
      <c r="G82" s="322" t="s">
        <v>92</v>
      </c>
      <c r="H82" s="323" t="s">
        <v>216</v>
      </c>
      <c r="W82" s="334"/>
      <c r="Y82" s="311" t="s">
        <v>411</v>
      </c>
      <c r="Z82" s="311">
        <v>0</v>
      </c>
      <c r="AC82" s="316"/>
    </row>
    <row r="83" spans="1:29" ht="15" x14ac:dyDescent="0.45">
      <c r="A83" s="334"/>
      <c r="B83" s="349">
        <v>0</v>
      </c>
      <c r="C83" s="241"/>
      <c r="G83" s="322" t="s">
        <v>93</v>
      </c>
      <c r="H83" s="323" t="s">
        <v>560</v>
      </c>
      <c r="W83" s="334"/>
      <c r="Y83" s="311" t="s">
        <v>566</v>
      </c>
      <c r="Z83" s="311">
        <v>1</v>
      </c>
    </row>
    <row r="84" spans="1:29" ht="15" x14ac:dyDescent="0.45">
      <c r="A84" s="334"/>
      <c r="C84" s="241"/>
      <c r="G84" s="322" t="s">
        <v>563</v>
      </c>
      <c r="H84" s="323" t="s">
        <v>559</v>
      </c>
      <c r="W84" s="334"/>
      <c r="Y84" s="29"/>
      <c r="Z84" s="29"/>
    </row>
    <row r="85" spans="1:29" ht="15" x14ac:dyDescent="0.45">
      <c r="A85" s="334"/>
      <c r="B85" s="46" t="s">
        <v>407</v>
      </c>
      <c r="C85" s="241"/>
      <c r="G85" s="322" t="s">
        <v>108</v>
      </c>
      <c r="H85" s="323" t="s">
        <v>283</v>
      </c>
      <c r="W85" s="334"/>
      <c r="Y85" s="312" t="s">
        <v>412</v>
      </c>
      <c r="Z85" s="311"/>
    </row>
    <row r="86" spans="1:29" x14ac:dyDescent="0.45">
      <c r="A86" s="334"/>
      <c r="B86" s="350">
        <f>IF(D$14&lt;&gt;0,BSSA14!$A$38,IF($E$14&lt;&gt;0,'CB14'!$A$56,"See Comment -&gt;"))</f>
        <v>0.27553066366795548</v>
      </c>
      <c r="C86" s="278" t="str">
        <f>IF(B86="See Comment -&gt;","Applied in the macro","")</f>
        <v/>
      </c>
      <c r="G86" s="322" t="s">
        <v>217</v>
      </c>
      <c r="H86" s="215" t="s">
        <v>558</v>
      </c>
      <c r="W86" s="334"/>
      <c r="Y86" s="311" t="str">
        <f>$C$11</f>
        <v>Geometric</v>
      </c>
      <c r="Z86" s="313">
        <f>VLOOKUP($C$11,Y82:Z83,2)</f>
        <v>1</v>
      </c>
    </row>
    <row r="87" spans="1:29" ht="15" x14ac:dyDescent="0.45">
      <c r="A87" s="334"/>
      <c r="C87" s="241"/>
      <c r="G87" s="322" t="s">
        <v>94</v>
      </c>
      <c r="H87" s="215" t="s">
        <v>95</v>
      </c>
      <c r="W87" s="334"/>
    </row>
    <row r="88" spans="1:29" ht="15" x14ac:dyDescent="0.45">
      <c r="A88" s="334"/>
      <c r="B88" s="46" t="s">
        <v>597</v>
      </c>
      <c r="C88" s="280" t="s">
        <v>397</v>
      </c>
      <c r="G88" s="322" t="s">
        <v>96</v>
      </c>
      <c r="H88" s="215" t="s">
        <v>97</v>
      </c>
      <c r="W88" s="334"/>
      <c r="Y88" t="s">
        <v>328</v>
      </c>
    </row>
    <row r="89" spans="1:29" ht="15" x14ac:dyDescent="0.45">
      <c r="A89" s="334"/>
      <c r="B89" s="349">
        <v>15</v>
      </c>
      <c r="C89" s="278"/>
      <c r="G89" s="322" t="s">
        <v>98</v>
      </c>
      <c r="H89" s="215" t="s">
        <v>557</v>
      </c>
      <c r="W89" s="334"/>
      <c r="Y89" s="29">
        <v>0.5</v>
      </c>
      <c r="Z89" s="29" t="s">
        <v>535</v>
      </c>
    </row>
    <row r="90" spans="1:29" x14ac:dyDescent="0.45">
      <c r="A90" s="334"/>
      <c r="C90" s="241"/>
      <c r="G90" s="322" t="s">
        <v>285</v>
      </c>
      <c r="H90" s="215" t="s">
        <v>556</v>
      </c>
      <c r="W90" s="334"/>
      <c r="Y90" s="29">
        <v>1</v>
      </c>
      <c r="Z90" s="29" t="s">
        <v>536</v>
      </c>
    </row>
    <row r="91" spans="1:29" ht="15" x14ac:dyDescent="0.45">
      <c r="A91" s="334"/>
      <c r="B91" s="46" t="s">
        <v>257</v>
      </c>
      <c r="C91" s="241"/>
      <c r="G91" s="322" t="s">
        <v>99</v>
      </c>
      <c r="H91" s="215" t="s">
        <v>554</v>
      </c>
      <c r="W91" s="334"/>
      <c r="Y91" s="29">
        <v>2</v>
      </c>
      <c r="Z91" s="29" t="s">
        <v>537</v>
      </c>
    </row>
    <row r="92" spans="1:29" ht="15" x14ac:dyDescent="0.45">
      <c r="A92" s="334"/>
      <c r="B92" s="349">
        <f>IF(AND($B$42=0,$B$45=0,$B$48=0),1,0)</f>
        <v>1</v>
      </c>
      <c r="C92" s="280" t="s">
        <v>603</v>
      </c>
      <c r="E92" s="29"/>
      <c r="G92" s="322" t="s">
        <v>103</v>
      </c>
      <c r="H92" s="215" t="s">
        <v>555</v>
      </c>
      <c r="W92" s="334"/>
      <c r="Y92" s="29">
        <v>3</v>
      </c>
      <c r="Z92" s="29" t="s">
        <v>538</v>
      </c>
    </row>
    <row r="93" spans="1:29" ht="15" x14ac:dyDescent="0.45">
      <c r="A93" s="334"/>
      <c r="C93" s="241"/>
      <c r="G93" s="322" t="s">
        <v>388</v>
      </c>
      <c r="H93" s="323" t="s">
        <v>390</v>
      </c>
      <c r="W93" s="334"/>
      <c r="Y93" s="29">
        <v>5</v>
      </c>
      <c r="Z93" s="29" t="s">
        <v>534</v>
      </c>
    </row>
    <row r="94" spans="1:29" ht="15" x14ac:dyDescent="0.45">
      <c r="A94" s="334"/>
      <c r="B94" s="46" t="s">
        <v>398</v>
      </c>
      <c r="C94" s="241"/>
      <c r="G94" s="322" t="s">
        <v>389</v>
      </c>
      <c r="H94" s="323" t="s">
        <v>391</v>
      </c>
      <c r="W94" s="334"/>
      <c r="Y94" s="29">
        <v>7</v>
      </c>
      <c r="Z94" s="29" t="s">
        <v>539</v>
      </c>
    </row>
    <row r="95" spans="1:29" x14ac:dyDescent="0.45">
      <c r="A95" s="334"/>
      <c r="B95" s="349">
        <f>IF($B$72="inferred",0,1)</f>
        <v>0</v>
      </c>
      <c r="C95" s="283" t="str">
        <f>$B$72</f>
        <v>inferred</v>
      </c>
      <c r="G95" s="322" t="s">
        <v>106</v>
      </c>
      <c r="H95" s="215" t="s">
        <v>553</v>
      </c>
      <c r="W95" s="334"/>
      <c r="Y95" s="29">
        <v>10</v>
      </c>
      <c r="Z95" s="29" t="s">
        <v>540</v>
      </c>
    </row>
    <row r="96" spans="1:29" ht="15" x14ac:dyDescent="0.45">
      <c r="A96" s="334"/>
      <c r="B96"/>
      <c r="C96" s="241"/>
      <c r="G96" s="322" t="s">
        <v>392</v>
      </c>
      <c r="H96" s="215" t="s">
        <v>393</v>
      </c>
      <c r="W96" s="334"/>
      <c r="Y96" s="29">
        <v>15</v>
      </c>
      <c r="Z96" s="29" t="s">
        <v>541</v>
      </c>
    </row>
    <row r="97" spans="1:26" ht="15" x14ac:dyDescent="0.45">
      <c r="A97" s="334"/>
      <c r="B97" s="46" t="s">
        <v>274</v>
      </c>
      <c r="C97" s="241"/>
      <c r="G97" s="322" t="s">
        <v>218</v>
      </c>
      <c r="H97" s="215" t="s">
        <v>394</v>
      </c>
      <c r="W97" s="334"/>
      <c r="Y97" s="29">
        <v>20</v>
      </c>
      <c r="Z97" s="29" t="s">
        <v>542</v>
      </c>
    </row>
    <row r="98" spans="1:26" x14ac:dyDescent="0.45">
      <c r="A98" s="334"/>
      <c r="B98" s="349">
        <f>IF($B$75="yes",1,0)</f>
        <v>0</v>
      </c>
      <c r="C98" s="298" t="s">
        <v>804</v>
      </c>
      <c r="G98" s="324" t="s">
        <v>183</v>
      </c>
      <c r="H98" s="323" t="s">
        <v>552</v>
      </c>
      <c r="W98" s="334"/>
      <c r="Y98" s="29">
        <v>25</v>
      </c>
      <c r="Z98" s="29" t="s">
        <v>543</v>
      </c>
    </row>
    <row r="99" spans="1:26" x14ac:dyDescent="0.45">
      <c r="A99" s="334"/>
      <c r="C99" s="241"/>
      <c r="G99" s="172" t="s">
        <v>82</v>
      </c>
      <c r="H99" s="215" t="s">
        <v>399</v>
      </c>
      <c r="W99" s="334"/>
      <c r="Y99" s="29">
        <v>30</v>
      </c>
      <c r="Z99" s="29" t="s">
        <v>544</v>
      </c>
    </row>
    <row r="100" spans="1:26" ht="15" x14ac:dyDescent="0.45">
      <c r="A100" s="334"/>
      <c r="B100" s="135" t="s">
        <v>183</v>
      </c>
      <c r="C100" s="241"/>
      <c r="G100" s="322" t="s">
        <v>494</v>
      </c>
      <c r="H100" s="323" t="s">
        <v>551</v>
      </c>
      <c r="W100" s="334"/>
    </row>
    <row r="101" spans="1:26" ht="15" x14ac:dyDescent="0.45">
      <c r="A101" s="334"/>
      <c r="B101" s="349">
        <f>IF(OR($B$78="California",$B$78="Global",$B$78="New Zealand",$B$78="Taiwan"),0,IF($B$78="Japan",1,IF($B$78="China",3,IF($B$78="TWA",2,IF($B$78="Italy",4,IF($B$78="Turkey",5,NA))))))</f>
        <v>0</v>
      </c>
      <c r="C101" s="283" t="str">
        <f>$B$78</f>
        <v>California</v>
      </c>
      <c r="G101" s="322" t="s">
        <v>495</v>
      </c>
      <c r="H101" s="323" t="s">
        <v>289</v>
      </c>
      <c r="W101" s="334"/>
      <c r="Y101" t="s">
        <v>328</v>
      </c>
      <c r="Z101" s="314"/>
    </row>
    <row r="102" spans="1:26" ht="18.75" customHeight="1" x14ac:dyDescent="0.45">
      <c r="A102" s="334"/>
      <c r="C102" s="241"/>
      <c r="G102" s="322" t="s">
        <v>496</v>
      </c>
      <c r="H102" s="323" t="s">
        <v>497</v>
      </c>
      <c r="W102" s="334"/>
      <c r="Y102" s="313" t="str">
        <f>VLOOKUP($C$17,Y89:Z99,2)</f>
        <v>5%</v>
      </c>
      <c r="Z102" s="314">
        <f>$C$17</f>
        <v>5</v>
      </c>
    </row>
    <row r="103" spans="1:26" ht="18.75" customHeight="1" x14ac:dyDescent="0.45">
      <c r="A103" s="334"/>
      <c r="B103" s="351" t="s">
        <v>413</v>
      </c>
      <c r="G103" s="322" t="s">
        <v>257</v>
      </c>
      <c r="H103" s="325" t="s">
        <v>282</v>
      </c>
      <c r="W103" s="334"/>
    </row>
    <row r="104" spans="1:26" ht="17.25" customHeight="1" x14ac:dyDescent="0.45">
      <c r="A104" s="334"/>
      <c r="B104" s="349">
        <f>IF($C$11=$Y$86,$Z$86,2)</f>
        <v>1</v>
      </c>
      <c r="C104" s="283" t="str">
        <f>$D$11</f>
        <v>Weighted average of the natural logarithm of the spectral values</v>
      </c>
      <c r="W104" s="334"/>
    </row>
    <row r="105" spans="1:26" x14ac:dyDescent="0.45">
      <c r="A105" s="334"/>
      <c r="W105" s="334"/>
    </row>
    <row r="106" spans="1:26" ht="16.5" customHeight="1" thickBot="1" x14ac:dyDescent="0.5">
      <c r="A106" s="334"/>
      <c r="B106" s="378" t="s">
        <v>400</v>
      </c>
      <c r="C106" s="378"/>
      <c r="D106" s="378"/>
      <c r="W106" s="334"/>
    </row>
    <row r="107" spans="1:26" ht="35.25" customHeight="1" thickBot="1" x14ac:dyDescent="0.5">
      <c r="A107" s="334"/>
      <c r="D107" s="382" t="s">
        <v>797</v>
      </c>
      <c r="E107" s="383"/>
      <c r="F107" s="383"/>
      <c r="G107" s="383"/>
      <c r="H107" s="384"/>
      <c r="W107" s="334"/>
    </row>
    <row r="108" spans="1:26" x14ac:dyDescent="0.45">
      <c r="A108" s="334"/>
      <c r="B108" s="284" t="s">
        <v>339</v>
      </c>
      <c r="C108" s="285" t="s">
        <v>387</v>
      </c>
      <c r="D108" s="286" t="s">
        <v>294</v>
      </c>
      <c r="E108" s="286" t="s">
        <v>295</v>
      </c>
      <c r="F108" s="286" t="s">
        <v>296</v>
      </c>
      <c r="G108" s="286" t="s">
        <v>297</v>
      </c>
      <c r="H108" s="286" t="s">
        <v>298</v>
      </c>
      <c r="I108" s="336"/>
      <c r="W108" s="334"/>
    </row>
    <row r="109" spans="1:26" x14ac:dyDescent="0.45">
      <c r="A109" s="334"/>
      <c r="B109" s="287" t="s">
        <v>215</v>
      </c>
      <c r="C109" s="288">
        <f>$B$69</f>
        <v>13</v>
      </c>
      <c r="D109" s="289"/>
      <c r="E109" s="289"/>
      <c r="F109" s="290">
        <f>MIN(SQRT(10^(($B$24-4.07)/0.98)), ($B$89-$F$115)/SIN($B$54*PI()/180))</f>
        <v>15</v>
      </c>
      <c r="G109" s="289"/>
      <c r="H109" s="289"/>
      <c r="I109" s="1"/>
      <c r="W109" s="334"/>
    </row>
    <row r="110" spans="1:26" ht="15.75" x14ac:dyDescent="0.45">
      <c r="A110" s="334"/>
      <c r="B110" s="287" t="s">
        <v>340</v>
      </c>
      <c r="C110" s="214">
        <f>$B$63</f>
        <v>0.5</v>
      </c>
      <c r="D110" s="290">
        <f>ASK14_Z1($B$39,$B$101,$B$63)</f>
        <v>0.5</v>
      </c>
      <c r="E110" s="289"/>
      <c r="F110" s="289"/>
      <c r="G110" s="290">
        <f>IF($B$101=1,EXP((-5.23/2)*LN(($B$39^2+412^2)/(1360^2+412^2)))/1000,EXP((-7.15/4)*LN(($B$39^4+571^4)/(1360^4+571^4)))/1000)</f>
        <v>0.40246584741378855</v>
      </c>
      <c r="H110" s="289"/>
      <c r="I110" s="336"/>
      <c r="W110" s="334"/>
    </row>
    <row r="111" spans="1:26" ht="15.75" x14ac:dyDescent="0.45">
      <c r="A111" s="334"/>
      <c r="B111" s="287" t="s">
        <v>432</v>
      </c>
      <c r="C111" s="214">
        <f>BSSA14!$A$41</f>
        <v>9.7282058588576414E-2</v>
      </c>
      <c r="D111" s="289"/>
      <c r="E111" s="290">
        <f>IF($C$111=0,0,$C$111)</f>
        <v>9.7282058588576414E-2</v>
      </c>
      <c r="F111" s="289"/>
      <c r="G111" s="289"/>
      <c r="H111" s="289"/>
      <c r="I111" s="336"/>
      <c r="W111" s="334"/>
    </row>
    <row r="112" spans="1:26" ht="15.75" x14ac:dyDescent="0.45">
      <c r="A112" s="334"/>
      <c r="B112" s="287" t="s">
        <v>409</v>
      </c>
      <c r="C112" s="214">
        <f>$B$66</f>
        <v>2.52</v>
      </c>
      <c r="D112" s="289"/>
      <c r="E112" s="289"/>
      <c r="F112" s="290">
        <f>IF($B$101=1,EXP(5.359-1.102*LN(1100)),EXP(7.089-1.144*LN(1100)))</f>
        <v>0.39752125093235868</v>
      </c>
      <c r="G112" s="289"/>
      <c r="H112" s="289"/>
      <c r="I112" s="336"/>
      <c r="W112" s="334"/>
    </row>
    <row r="113" spans="1:23" ht="15.75" x14ac:dyDescent="0.45">
      <c r="A113" s="334"/>
      <c r="B113" s="287" t="s">
        <v>410</v>
      </c>
      <c r="C113" s="214">
        <f>$B$66</f>
        <v>2.52</v>
      </c>
      <c r="D113" s="289"/>
      <c r="E113" s="289"/>
      <c r="F113" s="290">
        <f>IF($B$101=1,EXP(5.359-1.102*LN($B$39)),EXP(7.089-1.144*LN($B$39)))</f>
        <v>1.4266042757537531</v>
      </c>
      <c r="G113" s="289"/>
      <c r="H113" s="289"/>
      <c r="I113" s="336"/>
      <c r="W113" s="334"/>
    </row>
    <row r="114" spans="1:23" ht="15.75" x14ac:dyDescent="0.45">
      <c r="A114" s="334"/>
      <c r="B114" s="287" t="s">
        <v>342</v>
      </c>
      <c r="C114" s="288">
        <f>$B$60</f>
        <v>999</v>
      </c>
      <c r="D114" s="289"/>
      <c r="E114" s="289"/>
      <c r="F114" s="290">
        <f>IF($F$115 + EXP(MIN(IF($B$24&lt;6.75,-4.317+0.984*$B$24,2.325)+IF($B$54&lt;40,0.0445*($B$54-40),0),LN(0.9*('CB14'!$A$74-$F$115))))&gt;20,"NA",MAX($F$115 + EXP(MIN(IF($B$24&lt;6.75,-4.317+0.984*$B$24,2.325)+IF($B$54&lt;40,0.0445*($B$54-40),0),LN(0.9*('CB14'!$A$74-$F$115)))),5))</f>
        <v>10.226680085791001</v>
      </c>
      <c r="G114" s="289"/>
      <c r="H114" s="289"/>
      <c r="I114" s="336"/>
      <c r="W114" s="334"/>
    </row>
    <row r="115" spans="1:23" ht="15.75" x14ac:dyDescent="0.45">
      <c r="A115" s="334"/>
      <c r="B115" s="287" t="s">
        <v>341</v>
      </c>
      <c r="C115" s="288">
        <f>$B$57</f>
        <v>0.3</v>
      </c>
      <c r="D115" s="289"/>
      <c r="E115" s="289"/>
      <c r="F115" s="290">
        <f>IF($B$45*MAX(2.704-1.226*MAX($B$24-5.849,0),0)^2 + (1-$B$45)*MAX(2.673-1.136*MAX($B$24-4.97,0),0)^2&gt;20,"NA",$B$45*MAX(2.704-1.226*MAX($B$24-5.849,0),0)^2 + (1-$B$45)*MAX(2.673-1.136*MAX($B$24-4.97,0),0)^2)</f>
        <v>0</v>
      </c>
      <c r="G115" s="290">
        <f>IF($B$45=1,MAX(2.704-1.226*MAX($B$24-5.849,0),0)^2,MAX(2.673-1.136*MAX($B$24-4.97,0),0)^2)</f>
        <v>0</v>
      </c>
      <c r="H115" s="289"/>
      <c r="I115" s="337"/>
      <c r="W115" s="334"/>
    </row>
    <row r="116" spans="1:23" ht="15.75" x14ac:dyDescent="0.45">
      <c r="A116" s="334"/>
      <c r="B116" s="287" t="s">
        <v>343</v>
      </c>
      <c r="C116" s="288" t="s">
        <v>344</v>
      </c>
      <c r="D116" s="289"/>
      <c r="E116" s="289"/>
      <c r="F116" s="290">
        <f>$F$115+$F$109*SIN($B$54*PI()/180)</f>
        <v>15</v>
      </c>
      <c r="G116" s="289"/>
      <c r="H116" s="289"/>
      <c r="W116" s="334"/>
    </row>
    <row r="117" spans="1:23" ht="16.149999999999999" thickBot="1" x14ac:dyDescent="0.5">
      <c r="A117" s="334"/>
      <c r="E117" s="320"/>
      <c r="F117" s="320"/>
      <c r="G117" s="320"/>
      <c r="W117" s="334"/>
    </row>
    <row r="118" spans="1:23" ht="21" customHeight="1" x14ac:dyDescent="0.45">
      <c r="A118" s="334"/>
      <c r="B118" s="352" t="s">
        <v>568</v>
      </c>
      <c r="C118" s="353"/>
      <c r="D118" s="353"/>
      <c r="E118" s="353"/>
      <c r="F118" s="353"/>
      <c r="G118" s="353"/>
      <c r="H118" s="353"/>
      <c r="I118" s="353"/>
      <c r="J118" s="353"/>
      <c r="K118" s="353"/>
      <c r="L118" s="353"/>
      <c r="M118" s="353"/>
      <c r="N118" s="353"/>
      <c r="O118" s="353"/>
      <c r="P118" s="353"/>
      <c r="Q118" s="353"/>
      <c r="R118" s="353"/>
      <c r="S118" s="353"/>
      <c r="T118" s="353"/>
      <c r="U118" s="353"/>
      <c r="V118" s="354"/>
      <c r="W118" s="334"/>
    </row>
    <row r="119" spans="1:23" ht="15" customHeight="1" x14ac:dyDescent="0.45">
      <c r="A119" s="334"/>
      <c r="B119" s="355"/>
      <c r="C119" s="356"/>
      <c r="D119" s="356"/>
      <c r="E119" s="356"/>
      <c r="F119" s="356"/>
      <c r="G119" s="356"/>
      <c r="H119" s="356"/>
      <c r="I119" s="356"/>
      <c r="J119" s="356"/>
      <c r="K119" s="356"/>
      <c r="L119" s="356"/>
      <c r="M119" s="356"/>
      <c r="N119" s="356"/>
      <c r="O119" s="356"/>
      <c r="P119" s="356"/>
      <c r="Q119" s="356"/>
      <c r="R119" s="356"/>
      <c r="S119" s="356"/>
      <c r="T119" s="356"/>
      <c r="U119" s="356"/>
      <c r="V119" s="357"/>
      <c r="W119" s="334"/>
    </row>
    <row r="120" spans="1:23" ht="15" customHeight="1" x14ac:dyDescent="0.45">
      <c r="A120" s="334"/>
      <c r="B120" s="355"/>
      <c r="C120" s="356"/>
      <c r="D120" s="356"/>
      <c r="E120" s="356"/>
      <c r="F120" s="356"/>
      <c r="G120" s="356"/>
      <c r="H120" s="356"/>
      <c r="I120" s="356"/>
      <c r="J120" s="356"/>
      <c r="K120" s="356"/>
      <c r="L120" s="356"/>
      <c r="M120" s="356"/>
      <c r="N120" s="356"/>
      <c r="O120" s="356"/>
      <c r="P120" s="356"/>
      <c r="Q120" s="356"/>
      <c r="R120" s="356"/>
      <c r="S120" s="356"/>
      <c r="T120" s="356"/>
      <c r="U120" s="356"/>
      <c r="V120" s="357"/>
      <c r="W120" s="334"/>
    </row>
    <row r="121" spans="1:23" ht="15" customHeight="1" x14ac:dyDescent="0.45">
      <c r="A121" s="334"/>
      <c r="B121" s="355"/>
      <c r="C121" s="356"/>
      <c r="D121" s="356"/>
      <c r="E121" s="356"/>
      <c r="F121" s="356"/>
      <c r="G121" s="356"/>
      <c r="H121" s="356"/>
      <c r="I121" s="356"/>
      <c r="J121" s="356"/>
      <c r="K121" s="356"/>
      <c r="L121" s="356"/>
      <c r="M121" s="356"/>
      <c r="N121" s="356"/>
      <c r="O121" s="356"/>
      <c r="P121" s="356"/>
      <c r="Q121" s="356"/>
      <c r="R121" s="356"/>
      <c r="S121" s="356"/>
      <c r="T121" s="356"/>
      <c r="U121" s="356"/>
      <c r="V121" s="357"/>
      <c r="W121" s="334"/>
    </row>
    <row r="122" spans="1:23" ht="15" customHeight="1" x14ac:dyDescent="0.45">
      <c r="A122" s="334"/>
      <c r="B122" s="355"/>
      <c r="C122" s="356"/>
      <c r="D122" s="356"/>
      <c r="E122" s="356"/>
      <c r="F122" s="356"/>
      <c r="G122" s="356"/>
      <c r="H122" s="356"/>
      <c r="I122" s="356"/>
      <c r="J122" s="356"/>
      <c r="K122" s="356"/>
      <c r="L122" s="356"/>
      <c r="M122" s="356"/>
      <c r="N122" s="356"/>
      <c r="O122" s="356"/>
      <c r="P122" s="356"/>
      <c r="Q122" s="356"/>
      <c r="R122" s="356"/>
      <c r="S122" s="356"/>
      <c r="T122" s="356"/>
      <c r="U122" s="356"/>
      <c r="V122" s="357"/>
      <c r="W122" s="334"/>
    </row>
    <row r="123" spans="1:23" ht="15" customHeight="1" x14ac:dyDescent="0.45">
      <c r="A123" s="334"/>
      <c r="B123" s="355"/>
      <c r="C123" s="356"/>
      <c r="D123" s="356"/>
      <c r="E123" s="356"/>
      <c r="F123" s="356"/>
      <c r="G123" s="356"/>
      <c r="H123" s="356"/>
      <c r="I123" s="356"/>
      <c r="J123" s="356"/>
      <c r="K123" s="356"/>
      <c r="L123" s="356"/>
      <c r="M123" s="356"/>
      <c r="N123" s="356"/>
      <c r="O123" s="356"/>
      <c r="P123" s="356"/>
      <c r="Q123" s="356"/>
      <c r="R123" s="356"/>
      <c r="S123" s="356"/>
      <c r="T123" s="356"/>
      <c r="U123" s="356"/>
      <c r="V123" s="357"/>
      <c r="W123" s="334"/>
    </row>
    <row r="124" spans="1:23" ht="15" customHeight="1" x14ac:dyDescent="0.45">
      <c r="A124" s="334"/>
      <c r="B124" s="355"/>
      <c r="C124" s="356"/>
      <c r="D124" s="356"/>
      <c r="E124" s="356"/>
      <c r="F124" s="356"/>
      <c r="G124" s="356"/>
      <c r="H124" s="356"/>
      <c r="I124" s="356"/>
      <c r="J124" s="356"/>
      <c r="K124" s="356"/>
      <c r="L124" s="356"/>
      <c r="M124" s="356"/>
      <c r="N124" s="356"/>
      <c r="O124" s="356"/>
      <c r="P124" s="356"/>
      <c r="Q124" s="356"/>
      <c r="R124" s="356"/>
      <c r="S124" s="356"/>
      <c r="T124" s="356"/>
      <c r="U124" s="356"/>
      <c r="V124" s="357"/>
      <c r="W124" s="334"/>
    </row>
    <row r="125" spans="1:23" ht="15" customHeight="1" thickBot="1" x14ac:dyDescent="0.5">
      <c r="A125" s="334"/>
      <c r="B125" s="358"/>
      <c r="C125" s="359"/>
      <c r="D125" s="359"/>
      <c r="E125" s="359"/>
      <c r="F125" s="359"/>
      <c r="G125" s="359"/>
      <c r="H125" s="359"/>
      <c r="I125" s="359"/>
      <c r="J125" s="359"/>
      <c r="K125" s="359"/>
      <c r="L125" s="359"/>
      <c r="M125" s="359"/>
      <c r="N125" s="359"/>
      <c r="O125" s="359"/>
      <c r="P125" s="359"/>
      <c r="Q125" s="359"/>
      <c r="R125" s="359"/>
      <c r="S125" s="359"/>
      <c r="T125" s="359"/>
      <c r="U125" s="359"/>
      <c r="V125" s="360"/>
      <c r="W125" s="334"/>
    </row>
    <row r="126" spans="1:23" ht="8.25" customHeight="1" x14ac:dyDescent="0.45">
      <c r="A126" s="334"/>
      <c r="B126" s="339"/>
      <c r="C126" s="334"/>
      <c r="D126" s="334"/>
      <c r="E126" s="334"/>
      <c r="F126" s="334"/>
      <c r="G126" s="334"/>
      <c r="H126" s="334"/>
      <c r="I126" s="334"/>
      <c r="J126" s="334"/>
      <c r="K126" s="334"/>
      <c r="L126" s="334"/>
      <c r="M126" s="334"/>
      <c r="N126" s="334"/>
      <c r="O126" s="334"/>
      <c r="P126" s="334"/>
      <c r="Q126" s="334"/>
      <c r="R126" s="334"/>
      <c r="S126" s="334"/>
      <c r="T126" s="334"/>
      <c r="U126" s="334"/>
      <c r="V126" s="334"/>
      <c r="W126" s="334"/>
    </row>
    <row r="130" spans="2:14" hidden="1" x14ac:dyDescent="0.45">
      <c r="C130" s="94"/>
    </row>
    <row r="131" spans="2:14" ht="24.95" hidden="1" customHeight="1" x14ac:dyDescent="0.45">
      <c r="N131" s="49"/>
    </row>
    <row r="132" spans="2:14" ht="24.95" hidden="1" customHeight="1" x14ac:dyDescent="0.45">
      <c r="G132" s="50"/>
    </row>
    <row r="133" spans="2:14" ht="24.95" hidden="1" customHeight="1" x14ac:dyDescent="0.45"/>
    <row r="134" spans="2:14" ht="24.95" hidden="1" customHeight="1" x14ac:dyDescent="0.45"/>
    <row r="135" spans="2:14" ht="24.95" hidden="1" customHeight="1" x14ac:dyDescent="0.45"/>
    <row r="136" spans="2:14" ht="24.95" hidden="1" customHeight="1" x14ac:dyDescent="0.45"/>
    <row r="137" spans="2:14" ht="24.95" hidden="1" customHeight="1" x14ac:dyDescent="0.45"/>
    <row r="138" spans="2:14" s="111" customFormat="1" hidden="1" x14ac:dyDescent="0.45">
      <c r="B138" s="260"/>
    </row>
    <row r="142" spans="2:14" hidden="1" x14ac:dyDescent="0.45">
      <c r="C142" s="49"/>
    </row>
    <row r="143" spans="2:14" hidden="1" x14ac:dyDescent="0.45">
      <c r="C143" s="49"/>
      <c r="D143" s="126"/>
    </row>
    <row r="144" spans="2:14" hidden="1" x14ac:dyDescent="0.45">
      <c r="C144" s="135"/>
      <c r="D144" s="126"/>
    </row>
    <row r="145" spans="3:4" hidden="1" x14ac:dyDescent="0.45">
      <c r="C145" s="49"/>
      <c r="D145" s="126"/>
    </row>
    <row r="146" spans="3:4" hidden="1" x14ac:dyDescent="0.45">
      <c r="C146" s="49"/>
      <c r="D146" s="126"/>
    </row>
    <row r="147" spans="3:4" hidden="1" x14ac:dyDescent="0.45">
      <c r="C147" s="135"/>
      <c r="D147" s="29"/>
    </row>
    <row r="148" spans="3:4" hidden="1" x14ac:dyDescent="0.45">
      <c r="C148" s="49"/>
      <c r="D148" s="126"/>
    </row>
    <row r="149" spans="3:4" hidden="1" x14ac:dyDescent="0.45">
      <c r="C149" s="49"/>
    </row>
    <row r="150" spans="3:4" hidden="1" x14ac:dyDescent="0.45">
      <c r="C150" s="348"/>
      <c r="D150" s="29"/>
    </row>
    <row r="151" spans="3:4" hidden="1" x14ac:dyDescent="0.45">
      <c r="C151" s="49"/>
      <c r="D151" s="126"/>
    </row>
    <row r="152" spans="3:4" hidden="1" x14ac:dyDescent="0.45">
      <c r="C152" s="49"/>
      <c r="D152" s="126"/>
    </row>
    <row r="153" spans="3:4" hidden="1" x14ac:dyDescent="0.45">
      <c r="C153" s="135"/>
      <c r="D153" s="126"/>
    </row>
    <row r="154" spans="3:4" hidden="1" x14ac:dyDescent="0.45">
      <c r="C154" s="49"/>
      <c r="D154" s="126"/>
    </row>
    <row r="155" spans="3:4" hidden="1" x14ac:dyDescent="0.45">
      <c r="C155" s="70"/>
      <c r="D155" s="126"/>
    </row>
    <row r="156" spans="3:4" hidden="1" x14ac:dyDescent="0.45">
      <c r="C156" s="46"/>
      <c r="D156" s="126"/>
    </row>
    <row r="157" spans="3:4" hidden="1" x14ac:dyDescent="0.45">
      <c r="C157" s="49"/>
      <c r="D157" s="126"/>
    </row>
    <row r="158" spans="3:4" hidden="1" x14ac:dyDescent="0.45">
      <c r="C158" s="49"/>
      <c r="D158" s="126"/>
    </row>
    <row r="159" spans="3:4" hidden="1" x14ac:dyDescent="0.45">
      <c r="C159" s="4"/>
      <c r="D159" s="126"/>
    </row>
    <row r="160" spans="3:4" hidden="1" x14ac:dyDescent="0.45">
      <c r="C160" s="49"/>
      <c r="D160" s="126"/>
    </row>
    <row r="161" spans="3:4" hidden="1" x14ac:dyDescent="0.45">
      <c r="C161" s="49"/>
      <c r="D161" s="126"/>
    </row>
    <row r="162" spans="3:4" hidden="1" x14ac:dyDescent="0.45">
      <c r="C162" s="135"/>
      <c r="D162" s="126"/>
    </row>
    <row r="163" spans="3:4" hidden="1" x14ac:dyDescent="0.45">
      <c r="C163" s="49"/>
      <c r="D163" s="126"/>
    </row>
    <row r="164" spans="3:4" hidden="1" x14ac:dyDescent="0.45">
      <c r="C164" s="49"/>
      <c r="D164" s="126"/>
    </row>
    <row r="165" spans="3:4" hidden="1" x14ac:dyDescent="0.45">
      <c r="C165" s="10"/>
      <c r="D165" s="126"/>
    </row>
    <row r="166" spans="3:4" hidden="1" x14ac:dyDescent="0.45">
      <c r="C166" s="49"/>
      <c r="D166" s="126"/>
    </row>
    <row r="167" spans="3:4" hidden="1" x14ac:dyDescent="0.45">
      <c r="C167" s="5"/>
    </row>
    <row r="168" spans="3:4" hidden="1" x14ac:dyDescent="0.45">
      <c r="C168" s="4"/>
      <c r="D168" s="94"/>
    </row>
  </sheetData>
  <sheetProtection password="EDF4" sheet="1" objects="1" scenarios="1"/>
  <sortState xmlns:xlrd2="http://schemas.microsoft.com/office/spreadsheetml/2017/richdata2" ref="Y67:Y75">
    <sortCondition ref="Y67"/>
  </sortState>
  <mergeCells count="21">
    <mergeCell ref="D107:H107"/>
    <mergeCell ref="B106:D106"/>
    <mergeCell ref="E16:H16"/>
    <mergeCell ref="J14:O14"/>
    <mergeCell ref="J21:M21"/>
    <mergeCell ref="B118:V125"/>
    <mergeCell ref="B2:G2"/>
    <mergeCell ref="I2:V2"/>
    <mergeCell ref="D23:D43"/>
    <mergeCell ref="D20:V20"/>
    <mergeCell ref="B3:V3"/>
    <mergeCell ref="B4:V4"/>
    <mergeCell ref="J15:O15"/>
    <mergeCell ref="J16:O16"/>
    <mergeCell ref="B6:V6"/>
    <mergeCell ref="B7:V7"/>
    <mergeCell ref="B8:V8"/>
    <mergeCell ref="J12:O12"/>
    <mergeCell ref="B80:C80"/>
    <mergeCell ref="F21:I21"/>
    <mergeCell ref="J13:O13"/>
  </mergeCells>
  <conditionalFormatting sqref="C24 C27 C60 C30 C63 C66">
    <cfRule type="containsText" dxfId="23" priority="57" operator="containsText" text="! Not Applicable !">
      <formula>NOT(ISERROR(SEARCH("! Not Applicable !",C24)))</formula>
    </cfRule>
  </conditionalFormatting>
  <conditionalFormatting sqref="E16">
    <cfRule type="expression" dxfId="22" priority="18">
      <formula>IF(AND(SUM($C$14:$G$14)&gt;0.99,SUM($C$14:$G$14)&lt;1.01),0,1)</formula>
    </cfRule>
  </conditionalFormatting>
  <conditionalFormatting sqref="C14">
    <cfRule type="expression" dxfId="21" priority="74">
      <formula>$AC$23&gt;0</formula>
    </cfRule>
  </conditionalFormatting>
  <conditionalFormatting sqref="D14">
    <cfRule type="expression" dxfId="20" priority="75">
      <formula>$AC$26&gt;0</formula>
    </cfRule>
    <cfRule type="expression" dxfId="19" priority="76">
      <formula>"sum($W$25:$W$30)&gt;0"</formula>
    </cfRule>
  </conditionalFormatting>
  <conditionalFormatting sqref="E14">
    <cfRule type="expression" dxfId="18" priority="77">
      <formula>$AC$32&gt;0</formula>
    </cfRule>
  </conditionalFormatting>
  <conditionalFormatting sqref="F14">
    <cfRule type="expression" dxfId="17" priority="78">
      <formula>$AC$41&gt;0</formula>
    </cfRule>
  </conditionalFormatting>
  <conditionalFormatting sqref="G14">
    <cfRule type="expression" dxfId="16" priority="79">
      <formula>$AC$48&gt;0</formula>
    </cfRule>
  </conditionalFormatting>
  <conditionalFormatting sqref="G18:O18">
    <cfRule type="expression" dxfId="15" priority="2">
      <formula>$AB$52&gt;0</formula>
    </cfRule>
  </conditionalFormatting>
  <conditionalFormatting sqref="E111">
    <cfRule type="expression" dxfId="14" priority="80">
      <formula>IF(AND($B$63=999, $D$14&lt;&gt;0),1,0)</formula>
    </cfRule>
    <cfRule type="expression" dxfId="13" priority="81">
      <formula>$D$14&lt;&gt;0</formula>
    </cfRule>
  </conditionalFormatting>
  <conditionalFormatting sqref="D110">
    <cfRule type="expression" dxfId="12" priority="82">
      <formula>IF(AND($B$63=999, $C$14&lt;&gt;0),1,0)</formula>
    </cfRule>
  </conditionalFormatting>
  <conditionalFormatting sqref="F112:F113">
    <cfRule type="expression" dxfId="11" priority="83">
      <formula>IF(AND($B$66=999, $E$14&lt;&gt;0),1,0)</formula>
    </cfRule>
  </conditionalFormatting>
  <conditionalFormatting sqref="F114">
    <cfRule type="expression" dxfId="10" priority="84">
      <formula>IF(AND($B$60=999, $E$14&lt;&gt;0),1,0)</formula>
    </cfRule>
  </conditionalFormatting>
  <conditionalFormatting sqref="F115">
    <cfRule type="expression" dxfId="9" priority="85">
      <formula>IF(AND($B$57=999, $E$14&lt;&gt;0),1,0)</formula>
    </cfRule>
  </conditionalFormatting>
  <conditionalFormatting sqref="G115">
    <cfRule type="expression" dxfId="8" priority="86">
      <formula>IF(AND($B$57=999, $F$14&lt;&gt;0),1,0)</formula>
    </cfRule>
  </conditionalFormatting>
  <conditionalFormatting sqref="G110">
    <cfRule type="expression" dxfId="7" priority="87">
      <formula>IF(AND($B$63=999, $F$14&lt;&gt;0),1,0)</formula>
    </cfRule>
  </conditionalFormatting>
  <conditionalFormatting sqref="F109">
    <cfRule type="expression" dxfId="6" priority="89">
      <formula>IF(AND($B$69=999, $E$14&lt;&gt;0),1,0)</formula>
    </cfRule>
    <cfRule type="expression" dxfId="5" priority="90">
      <formula>"if(and($B$67=999,$E$14&lt;&gt;0),1,0)"</formula>
    </cfRule>
  </conditionalFormatting>
  <conditionalFormatting sqref="C21">
    <cfRule type="expression" dxfId="4" priority="1">
      <formula>$AB$52&lt;&gt;0</formula>
    </cfRule>
  </conditionalFormatting>
  <dataValidations xWindow="371" yWindow="355" count="5">
    <dataValidation type="textLength" errorStyle="information" allowBlank="1" showErrorMessage="1" error=", but the weights are still taken into account in the output" promptTitle="Read me" prompt="The weights are still taken into account in the output" sqref="E16:H16" xr:uid="{00000000-0002-0000-0000-000000000000}">
      <formula1>E16</formula1>
      <formula2>H16</formula2>
    </dataValidation>
    <dataValidation type="list" errorStyle="warning" allowBlank="1" showErrorMessage="1" errorTitle="Out of range!" error="Oops! The input value is out of range for &quot;Region&quot;." promptTitle="Choose one from the list:" sqref="B78" xr:uid="{00000000-0002-0000-0000-000001000000}">
      <formula1>$Y$69:$Y$77</formula1>
    </dataValidation>
    <dataValidation type="list" allowBlank="1" showInputMessage="1" showErrorMessage="1" sqref="B72" xr:uid="{00000000-0002-0000-0000-000002000000}">
      <formula1>$Y$57:$Y$58</formula1>
    </dataValidation>
    <dataValidation type="list" allowBlank="1" showInputMessage="1" showErrorMessage="1" sqref="B75" xr:uid="{00000000-0002-0000-0000-000003000000}">
      <formula1>$Y$63:$Y$64</formula1>
    </dataValidation>
    <dataValidation type="list" allowBlank="1" showInputMessage="1" showErrorMessage="1" sqref="C11" xr:uid="{00000000-0002-0000-0000-000004000000}">
      <formula1>$Y$82:$Y$83</formula1>
    </dataValidation>
  </dataValidations>
  <hyperlinks>
    <hyperlink ref="B9" r:id="rId1" display="http://peer.berkeley.edu/ngawest2/databases/" xr:uid="{00000000-0004-0000-0000-000000000000}"/>
  </hyperlinks>
  <pageMargins left="0.7" right="0.7" top="0.75" bottom="0.75" header="0.3" footer="0.3"/>
  <pageSetup orientation="portrait" r:id="rId2"/>
  <ignoredErrors>
    <ignoredError sqref="H13 D11 J23:J44 K23:M44 B86:B87 B101:B104 J21 D17 B89:B92 F23:I45 E16 K18 C26 C24:C25 C27:C34 C86 C95:C97 C109:C113 F109:G109 D110 F22:M22 B99:B100 E111 C37:C66 F114:G116 G113 G112 B93:B98 F110:G111 C114:C115 C99:C104 F112:F113 I46" unlockedFormula="1"/>
  </ignoredErrors>
  <drawing r:id="rId3"/>
  <legacyDrawing r:id="rId4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>
    <tabColor rgb="FF00FF00"/>
  </sheetPr>
  <dimension ref="A1:O34"/>
  <sheetViews>
    <sheetView topLeftCell="A19" workbookViewId="0">
      <selection sqref="A1:XFD1048576"/>
    </sheetView>
  </sheetViews>
  <sheetFormatPr defaultColWidth="8.86328125" defaultRowHeight="14.25" x14ac:dyDescent="0.45"/>
  <cols>
    <col min="1" max="1" width="18.73046875" customWidth="1"/>
    <col min="2" max="6" width="13.73046875" customWidth="1"/>
    <col min="7" max="7" width="13.1328125" customWidth="1"/>
    <col min="9" max="9" width="16.1328125" customWidth="1"/>
    <col min="10" max="12" width="10.86328125" customWidth="1"/>
    <col min="13" max="17" width="11.1328125" customWidth="1"/>
  </cols>
  <sheetData>
    <row r="1" spans="1:10" ht="18.399999999999999" thickBot="1" x14ac:dyDescent="0.6">
      <c r="A1" s="225" t="s">
        <v>527</v>
      </c>
      <c r="B1" s="226" t="s">
        <v>294</v>
      </c>
      <c r="C1" s="226" t="s">
        <v>295</v>
      </c>
      <c r="D1" s="226" t="s">
        <v>296</v>
      </c>
      <c r="E1" s="226" t="s">
        <v>297</v>
      </c>
      <c r="F1" s="226" t="s">
        <v>298</v>
      </c>
    </row>
    <row r="2" spans="1:10" ht="17.25" thickTop="1" x14ac:dyDescent="0.45">
      <c r="A2" s="223" t="s">
        <v>384</v>
      </c>
      <c r="B2" s="235"/>
      <c r="C2" s="235"/>
      <c r="D2" s="235"/>
      <c r="E2" s="235"/>
      <c r="F2" s="235"/>
    </row>
    <row r="3" spans="1:10" ht="38.25" customHeight="1" x14ac:dyDescent="0.45">
      <c r="A3" s="223" t="s">
        <v>595</v>
      </c>
      <c r="B3" s="224" t="s">
        <v>565</v>
      </c>
      <c r="C3" s="224" t="s">
        <v>565</v>
      </c>
      <c r="D3" s="231" t="s">
        <v>565</v>
      </c>
      <c r="E3" s="224" t="s">
        <v>565</v>
      </c>
      <c r="F3" s="224"/>
    </row>
    <row r="4" spans="1:10" ht="30" x14ac:dyDescent="0.45">
      <c r="A4" s="218" t="s">
        <v>591</v>
      </c>
      <c r="B4" s="220" t="s">
        <v>571</v>
      </c>
      <c r="C4" s="220" t="s">
        <v>573</v>
      </c>
      <c r="D4" s="220" t="s">
        <v>573</v>
      </c>
      <c r="E4" s="220" t="s">
        <v>573</v>
      </c>
      <c r="F4" s="222"/>
    </row>
    <row r="5" spans="1:10" ht="60" customHeight="1" x14ac:dyDescent="0.45">
      <c r="A5" s="239" t="s">
        <v>570</v>
      </c>
      <c r="B5" s="236"/>
      <c r="C5" s="220" t="s">
        <v>573</v>
      </c>
      <c r="D5" s="237" t="s">
        <v>573</v>
      </c>
      <c r="E5" s="238" t="s">
        <v>574</v>
      </c>
      <c r="F5" s="234"/>
    </row>
    <row r="6" spans="1:10" ht="71.25" x14ac:dyDescent="0.45">
      <c r="A6" s="218" t="s">
        <v>592</v>
      </c>
      <c r="B6" s="220" t="s">
        <v>572</v>
      </c>
      <c r="C6" s="220" t="s">
        <v>576</v>
      </c>
      <c r="D6" s="232" t="s">
        <v>575</v>
      </c>
      <c r="E6" s="220" t="s">
        <v>577</v>
      </c>
      <c r="F6" s="222"/>
    </row>
    <row r="7" spans="1:10" ht="18" x14ac:dyDescent="0.45">
      <c r="A7" s="218" t="s">
        <v>596</v>
      </c>
      <c r="B7" s="221"/>
      <c r="C7" s="221"/>
      <c r="D7" s="233"/>
      <c r="E7" s="222"/>
      <c r="F7" s="222"/>
    </row>
    <row r="8" spans="1:10" ht="28.5" x14ac:dyDescent="0.45">
      <c r="A8" s="218" t="s">
        <v>594</v>
      </c>
      <c r="B8" s="222"/>
      <c r="C8" s="220" t="s">
        <v>573</v>
      </c>
      <c r="D8" s="233"/>
      <c r="E8" s="222"/>
      <c r="F8" s="222"/>
    </row>
    <row r="9" spans="1:10" ht="18" x14ac:dyDescent="0.45">
      <c r="A9" s="218" t="s">
        <v>593</v>
      </c>
      <c r="B9" s="222" t="s">
        <v>344</v>
      </c>
      <c r="C9" s="221"/>
      <c r="D9" s="233"/>
      <c r="E9" s="222"/>
      <c r="F9" s="222"/>
    </row>
    <row r="10" spans="1:10" ht="42.75" x14ac:dyDescent="0.45">
      <c r="A10" s="258" t="s">
        <v>796</v>
      </c>
      <c r="B10" s="220" t="s">
        <v>572</v>
      </c>
      <c r="C10" s="222" t="s">
        <v>344</v>
      </c>
      <c r="D10" s="222" t="s">
        <v>344</v>
      </c>
      <c r="E10" s="222" t="s">
        <v>344</v>
      </c>
      <c r="F10" s="222" t="s">
        <v>344</v>
      </c>
    </row>
    <row r="12" spans="1:10" ht="19.899999999999999" thickBot="1" x14ac:dyDescent="0.5">
      <c r="B12" s="386" t="s">
        <v>498</v>
      </c>
      <c r="C12" s="386"/>
      <c r="D12" s="386"/>
      <c r="E12" s="386"/>
      <c r="F12" s="386"/>
      <c r="G12" s="386"/>
      <c r="H12" s="386"/>
    </row>
    <row r="13" spans="1:10" ht="17.649999999999999" thickTop="1" thickBot="1" x14ac:dyDescent="0.5">
      <c r="B13" s="228" t="s">
        <v>363</v>
      </c>
      <c r="C13" s="228" t="s">
        <v>294</v>
      </c>
      <c r="D13" s="228" t="s">
        <v>295</v>
      </c>
      <c r="E13" s="228" t="s">
        <v>296</v>
      </c>
      <c r="F13" s="228" t="s">
        <v>297</v>
      </c>
      <c r="G13" s="228" t="s">
        <v>298</v>
      </c>
      <c r="H13" s="228" t="s">
        <v>528</v>
      </c>
      <c r="I13" s="216"/>
      <c r="J13" s="49"/>
    </row>
    <row r="14" spans="1:10" ht="15.75" x14ac:dyDescent="0.45">
      <c r="B14" s="216" t="s">
        <v>499</v>
      </c>
      <c r="C14" s="224" t="s">
        <v>500</v>
      </c>
      <c r="D14" s="224" t="s">
        <v>500</v>
      </c>
      <c r="E14" s="224" t="s">
        <v>500</v>
      </c>
      <c r="F14" s="224" t="s">
        <v>500</v>
      </c>
      <c r="G14" s="224" t="s">
        <v>500</v>
      </c>
      <c r="H14" s="215"/>
      <c r="I14" s="216"/>
      <c r="J14" s="49"/>
    </row>
    <row r="15" spans="1:10" ht="18" x14ac:dyDescent="0.45">
      <c r="B15" s="216" t="s">
        <v>504</v>
      </c>
      <c r="C15" s="217" t="s">
        <v>501</v>
      </c>
      <c r="D15" s="222" t="s">
        <v>344</v>
      </c>
      <c r="E15" s="217" t="s">
        <v>501</v>
      </c>
      <c r="F15" s="217" t="s">
        <v>501</v>
      </c>
      <c r="G15" s="222" t="s">
        <v>344</v>
      </c>
      <c r="H15" s="215" t="s">
        <v>529</v>
      </c>
      <c r="I15" s="216"/>
      <c r="J15" s="49"/>
    </row>
    <row r="16" spans="1:10" ht="15.75" x14ac:dyDescent="0.45">
      <c r="B16" s="216" t="s">
        <v>502</v>
      </c>
      <c r="C16" s="217" t="s">
        <v>584</v>
      </c>
      <c r="D16" s="217" t="s">
        <v>585</v>
      </c>
      <c r="E16" s="217" t="s">
        <v>584</v>
      </c>
      <c r="F16" s="217" t="s">
        <v>584</v>
      </c>
      <c r="G16" s="217" t="s">
        <v>584</v>
      </c>
      <c r="H16" s="215" t="s">
        <v>530</v>
      </c>
      <c r="I16" s="216"/>
      <c r="J16" s="49"/>
    </row>
    <row r="17" spans="1:15" ht="18" x14ac:dyDescent="0.45">
      <c r="B17" s="216" t="s">
        <v>503</v>
      </c>
      <c r="C17" s="217" t="s">
        <v>285</v>
      </c>
      <c r="D17" s="222" t="s">
        <v>344</v>
      </c>
      <c r="E17" s="49" t="s">
        <v>285</v>
      </c>
      <c r="F17" s="49" t="s">
        <v>285</v>
      </c>
      <c r="G17" s="222" t="s">
        <v>344</v>
      </c>
      <c r="H17" s="215"/>
      <c r="I17" s="216"/>
      <c r="J17" s="49"/>
    </row>
    <row r="18" spans="1:15" ht="18" x14ac:dyDescent="0.45">
      <c r="B18" s="216" t="s">
        <v>583</v>
      </c>
      <c r="C18" s="217" t="s">
        <v>9</v>
      </c>
      <c r="D18" s="222" t="s">
        <v>344</v>
      </c>
      <c r="E18" s="217" t="s">
        <v>9</v>
      </c>
      <c r="F18" s="222" t="s">
        <v>344</v>
      </c>
      <c r="G18" s="222" t="s">
        <v>344</v>
      </c>
      <c r="H18" s="215"/>
      <c r="I18" s="49"/>
      <c r="J18" s="49"/>
      <c r="K18" s="49"/>
      <c r="L18" s="49"/>
      <c r="M18" s="49"/>
      <c r="N18" s="49"/>
      <c r="O18" s="49"/>
    </row>
    <row r="19" spans="1:15" ht="18" x14ac:dyDescent="0.45">
      <c r="B19" s="216" t="s">
        <v>505</v>
      </c>
      <c r="C19" s="217" t="s">
        <v>506</v>
      </c>
      <c r="D19" s="222" t="s">
        <v>344</v>
      </c>
      <c r="E19" s="217" t="s">
        <v>506</v>
      </c>
      <c r="F19" s="217" t="s">
        <v>506</v>
      </c>
      <c r="G19" s="217" t="s">
        <v>506</v>
      </c>
      <c r="H19" s="215"/>
      <c r="I19" s="49"/>
      <c r="J19" s="49"/>
      <c r="K19" s="49"/>
      <c r="L19" s="49"/>
      <c r="M19" s="49"/>
      <c r="N19" s="49"/>
      <c r="O19" s="49"/>
    </row>
    <row r="20" spans="1:15" ht="18" x14ac:dyDescent="0.45">
      <c r="B20" s="216" t="s">
        <v>519</v>
      </c>
      <c r="C20" s="217" t="s">
        <v>507</v>
      </c>
      <c r="D20" s="217" t="s">
        <v>507</v>
      </c>
      <c r="E20" s="217" t="s">
        <v>507</v>
      </c>
      <c r="F20" s="217" t="s">
        <v>507</v>
      </c>
      <c r="G20" s="222" t="s">
        <v>344</v>
      </c>
      <c r="H20" s="215"/>
      <c r="I20" s="49"/>
      <c r="J20" s="49"/>
      <c r="K20" s="49"/>
      <c r="L20" s="49"/>
      <c r="M20" s="49"/>
      <c r="N20" s="49"/>
      <c r="O20" s="49"/>
    </row>
    <row r="21" spans="1:15" ht="18" x14ac:dyDescent="0.45">
      <c r="B21" s="216" t="s">
        <v>525</v>
      </c>
      <c r="C21" s="217" t="s">
        <v>520</v>
      </c>
      <c r="D21" s="222" t="s">
        <v>344</v>
      </c>
      <c r="E21" s="217" t="s">
        <v>520</v>
      </c>
      <c r="F21" s="217" t="s">
        <v>520</v>
      </c>
      <c r="G21" s="222" t="s">
        <v>344</v>
      </c>
      <c r="H21" s="227" t="s">
        <v>532</v>
      </c>
      <c r="I21" s="49"/>
      <c r="J21" s="49"/>
      <c r="K21" s="49"/>
      <c r="L21" s="49"/>
      <c r="M21" s="49"/>
      <c r="N21" s="49"/>
      <c r="O21" s="49"/>
    </row>
    <row r="22" spans="1:15" ht="18" x14ac:dyDescent="0.45">
      <c r="B22" s="54" t="s">
        <v>526</v>
      </c>
      <c r="C22" s="217" t="s">
        <v>523</v>
      </c>
      <c r="D22" s="222" t="s">
        <v>344</v>
      </c>
      <c r="E22" s="222" t="s">
        <v>344</v>
      </c>
      <c r="F22" s="222" t="s">
        <v>344</v>
      </c>
      <c r="G22" s="222" t="s">
        <v>344</v>
      </c>
      <c r="H22" s="215"/>
      <c r="I22" s="49"/>
      <c r="J22" s="49"/>
      <c r="K22" s="49"/>
      <c r="L22" s="49"/>
      <c r="M22" s="49"/>
      <c r="N22" s="49"/>
      <c r="O22" s="49"/>
    </row>
    <row r="23" spans="1:15" ht="18" x14ac:dyDescent="0.45">
      <c r="B23" s="216" t="s">
        <v>508</v>
      </c>
      <c r="C23" s="217" t="s">
        <v>579</v>
      </c>
      <c r="D23" s="217" t="s">
        <v>509</v>
      </c>
      <c r="E23" s="217" t="s">
        <v>579</v>
      </c>
      <c r="F23" s="217" t="s">
        <v>579</v>
      </c>
      <c r="G23" s="222" t="s">
        <v>344</v>
      </c>
      <c r="H23" s="215"/>
      <c r="I23" s="49"/>
      <c r="J23" s="49"/>
      <c r="K23" s="49"/>
      <c r="L23" s="49"/>
      <c r="M23" s="49"/>
      <c r="N23" s="49"/>
      <c r="O23" s="49"/>
    </row>
    <row r="24" spans="1:15" ht="15.75" x14ac:dyDescent="0.45">
      <c r="B24" s="216" t="s">
        <v>510</v>
      </c>
      <c r="C24" s="217" t="s">
        <v>545</v>
      </c>
      <c r="D24" s="217" t="s">
        <v>545</v>
      </c>
      <c r="E24" s="217" t="s">
        <v>545</v>
      </c>
      <c r="F24" s="217" t="s">
        <v>545</v>
      </c>
      <c r="G24" s="217" t="s">
        <v>545</v>
      </c>
      <c r="H24" s="215"/>
      <c r="I24" s="49"/>
      <c r="J24" s="49"/>
      <c r="K24" s="49"/>
      <c r="L24" s="49"/>
      <c r="M24" s="49"/>
      <c r="N24" s="49"/>
      <c r="O24" s="49"/>
    </row>
    <row r="25" spans="1:15" ht="18" x14ac:dyDescent="0.45">
      <c r="A25" s="242"/>
      <c r="B25" s="243" t="s">
        <v>582</v>
      </c>
      <c r="C25" s="244">
        <v>1100</v>
      </c>
      <c r="D25" s="244">
        <v>760</v>
      </c>
      <c r="E25" s="244">
        <v>1100</v>
      </c>
      <c r="F25" s="244">
        <v>1130</v>
      </c>
      <c r="G25" s="245" t="s">
        <v>344</v>
      </c>
      <c r="H25" s="215"/>
    </row>
    <row r="26" spans="1:15" ht="18" x14ac:dyDescent="0.45">
      <c r="A26" s="49"/>
      <c r="B26" s="216" t="s">
        <v>511</v>
      </c>
      <c r="C26" s="217" t="s">
        <v>512</v>
      </c>
      <c r="D26" s="217" t="s">
        <v>514</v>
      </c>
      <c r="E26" s="217" t="s">
        <v>513</v>
      </c>
      <c r="F26" s="217" t="s">
        <v>512</v>
      </c>
      <c r="G26" s="222" t="s">
        <v>344</v>
      </c>
      <c r="H26" s="215" t="s">
        <v>529</v>
      </c>
    </row>
    <row r="27" spans="1:15" ht="18" x14ac:dyDescent="0.45">
      <c r="A27" s="49"/>
      <c r="B27" s="216" t="s">
        <v>515</v>
      </c>
      <c r="C27" s="222" t="s">
        <v>344</v>
      </c>
      <c r="D27" s="222" t="s">
        <v>344</v>
      </c>
      <c r="E27" s="217" t="s">
        <v>516</v>
      </c>
      <c r="F27" s="217" t="s">
        <v>344</v>
      </c>
      <c r="G27" s="222" t="s">
        <v>344</v>
      </c>
      <c r="H27" s="215" t="s">
        <v>529</v>
      </c>
    </row>
    <row r="28" spans="1:15" ht="18" x14ac:dyDescent="0.45">
      <c r="A28" s="49"/>
      <c r="B28" s="216" t="s">
        <v>517</v>
      </c>
      <c r="C28" s="222" t="s">
        <v>344</v>
      </c>
      <c r="D28" s="222" t="s">
        <v>344</v>
      </c>
      <c r="E28" s="217" t="s">
        <v>522</v>
      </c>
      <c r="F28" s="219" t="s">
        <v>518</v>
      </c>
      <c r="G28" s="222" t="s">
        <v>344</v>
      </c>
      <c r="H28" s="240"/>
    </row>
    <row r="29" spans="1:15" ht="18" x14ac:dyDescent="0.45">
      <c r="A29" s="49"/>
      <c r="B29" s="216" t="s">
        <v>521</v>
      </c>
      <c r="C29" s="217" t="s">
        <v>183</v>
      </c>
      <c r="D29" s="217" t="s">
        <v>183</v>
      </c>
      <c r="E29" s="217" t="s">
        <v>183</v>
      </c>
      <c r="F29" s="217" t="s">
        <v>183</v>
      </c>
      <c r="G29" s="222" t="s">
        <v>344</v>
      </c>
      <c r="H29" s="215" t="s">
        <v>531</v>
      </c>
    </row>
    <row r="30" spans="1:15" ht="18" x14ac:dyDescent="0.45">
      <c r="A30" s="49"/>
      <c r="B30" s="216" t="s">
        <v>524</v>
      </c>
      <c r="C30" s="217" t="s">
        <v>578</v>
      </c>
      <c r="D30" s="222" t="s">
        <v>344</v>
      </c>
      <c r="E30" s="222" t="s">
        <v>344</v>
      </c>
      <c r="F30" s="222" t="s">
        <v>344</v>
      </c>
      <c r="G30" s="222" t="s">
        <v>344</v>
      </c>
      <c r="H30" s="215"/>
    </row>
    <row r="32" spans="1:15" x14ac:dyDescent="0.45">
      <c r="A32" s="241" t="s">
        <v>581</v>
      </c>
    </row>
    <row r="34" spans="1:1" x14ac:dyDescent="0.45">
      <c r="A34" s="241" t="s">
        <v>598</v>
      </c>
    </row>
  </sheetData>
  <sheetProtection password="EDF4" sheet="1" objects="1" scenarios="1"/>
  <mergeCells count="1">
    <mergeCell ref="B12:H1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tabColor rgb="FFFFC000"/>
  </sheetPr>
  <dimension ref="B1:D31"/>
  <sheetViews>
    <sheetView topLeftCell="A16" workbookViewId="0">
      <selection sqref="A1:XFD1048576"/>
    </sheetView>
  </sheetViews>
  <sheetFormatPr defaultColWidth="8.86328125" defaultRowHeight="14.25" x14ac:dyDescent="0.45"/>
  <cols>
    <col min="2" max="3" width="17.1328125" customWidth="1"/>
    <col min="4" max="4" width="16.86328125" customWidth="1"/>
  </cols>
  <sheetData>
    <row r="1" spans="2:4" ht="24" customHeight="1" thickBot="1" x14ac:dyDescent="0.5">
      <c r="B1" s="390" t="s">
        <v>600</v>
      </c>
      <c r="C1" s="391"/>
      <c r="D1" s="392"/>
    </row>
    <row r="2" spans="2:4" ht="14.65" thickTop="1" x14ac:dyDescent="0.45">
      <c r="B2" s="230" t="s">
        <v>599</v>
      </c>
      <c r="C2" s="230" t="s">
        <v>363</v>
      </c>
      <c r="D2" s="230" t="s">
        <v>380</v>
      </c>
    </row>
    <row r="3" spans="2:4" ht="23.25" customHeight="1" x14ac:dyDescent="0.55000000000000004">
      <c r="B3" s="387" t="s">
        <v>294</v>
      </c>
      <c r="C3" s="229" t="s">
        <v>550</v>
      </c>
      <c r="D3" s="229" t="s">
        <v>370</v>
      </c>
    </row>
    <row r="4" spans="2:4" ht="23.25" customHeight="1" x14ac:dyDescent="0.45">
      <c r="B4" s="388"/>
      <c r="C4" s="229" t="s">
        <v>292</v>
      </c>
      <c r="D4" s="229" t="s">
        <v>354</v>
      </c>
    </row>
    <row r="5" spans="2:4" ht="23.25" customHeight="1" x14ac:dyDescent="0.45">
      <c r="B5" s="389"/>
      <c r="C5" s="217" t="s">
        <v>545</v>
      </c>
      <c r="D5" s="229" t="s">
        <v>359</v>
      </c>
    </row>
    <row r="6" spans="2:4" ht="23.25" customHeight="1" x14ac:dyDescent="0.55000000000000004">
      <c r="B6" s="387" t="s">
        <v>295</v>
      </c>
      <c r="C6" s="229" t="s">
        <v>546</v>
      </c>
      <c r="D6" s="229" t="s">
        <v>370</v>
      </c>
    </row>
    <row r="7" spans="2:4" ht="23.25" customHeight="1" x14ac:dyDescent="0.55000000000000004">
      <c r="B7" s="388"/>
      <c r="C7" s="229" t="s">
        <v>547</v>
      </c>
      <c r="D7" s="229" t="s">
        <v>370</v>
      </c>
    </row>
    <row r="8" spans="2:4" ht="23.25" customHeight="1" x14ac:dyDescent="0.55000000000000004">
      <c r="B8" s="388"/>
      <c r="C8" s="229" t="s">
        <v>548</v>
      </c>
      <c r="D8" s="229" t="s">
        <v>375</v>
      </c>
    </row>
    <row r="9" spans="2:4" ht="23.25" customHeight="1" x14ac:dyDescent="0.45">
      <c r="B9" s="388"/>
      <c r="C9" s="217" t="s">
        <v>549</v>
      </c>
      <c r="D9" s="229" t="s">
        <v>377</v>
      </c>
    </row>
    <row r="10" spans="2:4" ht="23.25" customHeight="1" x14ac:dyDescent="0.45">
      <c r="B10" s="388"/>
      <c r="C10" s="217" t="s">
        <v>545</v>
      </c>
      <c r="D10" s="229" t="s">
        <v>351</v>
      </c>
    </row>
    <row r="11" spans="2:4" ht="23.25" customHeight="1" x14ac:dyDescent="0.45">
      <c r="B11" s="389"/>
      <c r="C11" s="217" t="s">
        <v>512</v>
      </c>
      <c r="D11" s="229" t="s">
        <v>378</v>
      </c>
    </row>
    <row r="12" spans="2:4" ht="23.25" customHeight="1" x14ac:dyDescent="0.55000000000000004">
      <c r="B12" s="387" t="s">
        <v>296</v>
      </c>
      <c r="C12" s="229" t="s">
        <v>546</v>
      </c>
      <c r="D12" s="229" t="s">
        <v>357</v>
      </c>
    </row>
    <row r="13" spans="2:4" ht="23.25" customHeight="1" x14ac:dyDescent="0.55000000000000004">
      <c r="B13" s="388"/>
      <c r="C13" s="229" t="s">
        <v>547</v>
      </c>
      <c r="D13" s="229" t="s">
        <v>356</v>
      </c>
    </row>
    <row r="14" spans="2:4" ht="23.25" customHeight="1" x14ac:dyDescent="0.55000000000000004">
      <c r="B14" s="388"/>
      <c r="C14" s="229" t="s">
        <v>548</v>
      </c>
      <c r="D14" s="229" t="s">
        <v>355</v>
      </c>
    </row>
    <row r="15" spans="2:4" ht="23.25" customHeight="1" x14ac:dyDescent="0.45">
      <c r="B15" s="388"/>
      <c r="C15" s="217" t="s">
        <v>506</v>
      </c>
      <c r="D15" s="229" t="s">
        <v>354</v>
      </c>
    </row>
    <row r="16" spans="2:4" ht="23.25" customHeight="1" x14ac:dyDescent="0.45">
      <c r="B16" s="388"/>
      <c r="C16" s="217" t="s">
        <v>545</v>
      </c>
      <c r="D16" s="229" t="s">
        <v>351</v>
      </c>
    </row>
    <row r="17" spans="2:4" ht="23.25" customHeight="1" x14ac:dyDescent="0.45">
      <c r="B17" s="388"/>
      <c r="C17" s="217" t="s">
        <v>513</v>
      </c>
      <c r="D17" s="229" t="s">
        <v>352</v>
      </c>
    </row>
    <row r="18" spans="2:4" ht="23.25" customHeight="1" x14ac:dyDescent="0.45">
      <c r="B18" s="388"/>
      <c r="C18" s="217" t="s">
        <v>516</v>
      </c>
      <c r="D18" s="229" t="s">
        <v>353</v>
      </c>
    </row>
    <row r="19" spans="2:4" ht="23.25" customHeight="1" x14ac:dyDescent="0.45">
      <c r="B19" s="388"/>
      <c r="C19" s="217" t="s">
        <v>501</v>
      </c>
      <c r="D19" s="229" t="s">
        <v>353</v>
      </c>
    </row>
    <row r="20" spans="2:4" ht="23.25" customHeight="1" x14ac:dyDescent="0.45">
      <c r="B20" s="389"/>
      <c r="C20" s="217" t="s">
        <v>360</v>
      </c>
      <c r="D20" s="229" t="s">
        <v>361</v>
      </c>
    </row>
    <row r="21" spans="2:4" ht="23.25" customHeight="1" x14ac:dyDescent="0.55000000000000004">
      <c r="B21" s="387" t="s">
        <v>297</v>
      </c>
      <c r="C21" s="229" t="s">
        <v>546</v>
      </c>
      <c r="D21" s="229" t="s">
        <v>365</v>
      </c>
    </row>
    <row r="22" spans="2:4" ht="23.25" customHeight="1" x14ac:dyDescent="0.55000000000000004">
      <c r="B22" s="388"/>
      <c r="C22" s="229" t="s">
        <v>547</v>
      </c>
      <c r="D22" s="229" t="s">
        <v>366</v>
      </c>
    </row>
    <row r="23" spans="2:4" ht="23.25" customHeight="1" x14ac:dyDescent="0.55000000000000004">
      <c r="B23" s="388"/>
      <c r="C23" s="229" t="s">
        <v>548</v>
      </c>
      <c r="D23" s="229" t="s">
        <v>367</v>
      </c>
    </row>
    <row r="24" spans="2:4" ht="23.25" customHeight="1" x14ac:dyDescent="0.45">
      <c r="B24" s="388"/>
      <c r="C24" s="217" t="s">
        <v>506</v>
      </c>
      <c r="D24" s="229" t="s">
        <v>354</v>
      </c>
    </row>
    <row r="25" spans="2:4" ht="23.25" customHeight="1" x14ac:dyDescent="0.45">
      <c r="B25" s="388"/>
      <c r="C25" s="217" t="s">
        <v>545</v>
      </c>
      <c r="D25" s="229" t="s">
        <v>369</v>
      </c>
    </row>
    <row r="26" spans="2:4" ht="23.25" customHeight="1" x14ac:dyDescent="0.45">
      <c r="B26" s="388"/>
      <c r="C26" s="217" t="s">
        <v>512</v>
      </c>
      <c r="D26" s="229" t="s">
        <v>368</v>
      </c>
    </row>
    <row r="27" spans="2:4" ht="23.25" customHeight="1" x14ac:dyDescent="0.45">
      <c r="B27" s="389"/>
      <c r="C27" s="217" t="s">
        <v>501</v>
      </c>
      <c r="D27" s="229" t="s">
        <v>352</v>
      </c>
    </row>
    <row r="28" spans="2:4" ht="23.25" customHeight="1" x14ac:dyDescent="0.55000000000000004">
      <c r="B28" s="387" t="s">
        <v>298</v>
      </c>
      <c r="C28" s="229" t="s">
        <v>550</v>
      </c>
      <c r="D28" s="229" t="s">
        <v>371</v>
      </c>
    </row>
    <row r="29" spans="2:4" ht="23.25" customHeight="1" x14ac:dyDescent="0.45">
      <c r="B29" s="388"/>
      <c r="C29" s="217" t="s">
        <v>292</v>
      </c>
      <c r="D29" s="229" t="s">
        <v>372</v>
      </c>
    </row>
    <row r="30" spans="2:4" ht="23.25" customHeight="1" x14ac:dyDescent="0.45">
      <c r="B30" s="389"/>
      <c r="C30" s="217" t="s">
        <v>545</v>
      </c>
      <c r="D30" s="229" t="s">
        <v>373</v>
      </c>
    </row>
    <row r="31" spans="2:4" x14ac:dyDescent="0.45">
      <c r="B31" s="207"/>
      <c r="D31" s="29"/>
    </row>
  </sheetData>
  <sheetProtection password="EDF4" sheet="1" objects="1" scenarios="1"/>
  <mergeCells count="6">
    <mergeCell ref="B28:B30"/>
    <mergeCell ref="B1:D1"/>
    <mergeCell ref="B3:B5"/>
    <mergeCell ref="B6:B11"/>
    <mergeCell ref="B12:B20"/>
    <mergeCell ref="B21:B27"/>
  </mergeCells>
  <dataValidations disablePrompts="1" count="2">
    <dataValidation type="custom" allowBlank="1" showInputMessage="1" showErrorMessage="1" error="ff" sqref="D23" xr:uid="{00000000-0002-0000-0200-000000000000}">
      <formula1>#REF!</formula1>
    </dataValidation>
    <dataValidation type="decimal" errorStyle="warning" allowBlank="1" showInputMessage="1" showErrorMessage="1" error="ff" sqref="B10" xr:uid="{00000000-0002-0000-0200-000001000000}">
      <formula1>3.3</formula1>
      <formula2>8.5</formula2>
    </dataValidation>
  </dataValidation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86"/>
  <sheetViews>
    <sheetView workbookViewId="0">
      <selection sqref="A1:XFD1048576"/>
    </sheetView>
  </sheetViews>
  <sheetFormatPr defaultColWidth="8.86328125" defaultRowHeight="14.25" x14ac:dyDescent="0.45"/>
  <cols>
    <col min="1" max="1" width="16.73046875" style="49" customWidth="1"/>
    <col min="2" max="2" width="16.73046875" customWidth="1"/>
    <col min="3" max="3" width="10.86328125" style="29" bestFit="1" customWidth="1"/>
    <col min="4" max="4" width="7.265625" style="29" customWidth="1"/>
    <col min="5" max="5" width="13.73046875" style="29" customWidth="1"/>
    <col min="6" max="6" width="12.1328125" style="32" customWidth="1"/>
    <col min="7" max="7" width="12.86328125" style="29" customWidth="1"/>
    <col min="8" max="8" width="11" customWidth="1"/>
    <col min="9" max="9" width="8.86328125" customWidth="1"/>
    <col min="10" max="10" width="7.265625" customWidth="1"/>
    <col min="11" max="11" width="8.265625" customWidth="1"/>
    <col min="12" max="15" width="7.265625" customWidth="1"/>
    <col min="16" max="16" width="10.73046875" style="41" customWidth="1"/>
    <col min="17" max="22" width="7.265625" customWidth="1"/>
    <col min="23" max="23" width="8.265625" style="42" customWidth="1"/>
    <col min="24" max="24" width="7.265625" customWidth="1"/>
    <col min="25" max="25" width="10" bestFit="1" customWidth="1"/>
  </cols>
  <sheetData>
    <row r="1" spans="1:24" s="116" customFormat="1" x14ac:dyDescent="0.45">
      <c r="A1" s="57" t="s">
        <v>601</v>
      </c>
      <c r="F1" s="123"/>
    </row>
    <row r="2" spans="1:24" s="1" customFormat="1" ht="15" customHeight="1" x14ac:dyDescent="0.35">
      <c r="F2" s="124"/>
    </row>
    <row r="3" spans="1:24" ht="31.5" x14ac:dyDescent="0.45">
      <c r="A3" s="171" t="s">
        <v>383</v>
      </c>
      <c r="B3" s="171" t="s">
        <v>382</v>
      </c>
      <c r="C3" s="109"/>
      <c r="D3" s="109"/>
      <c r="E3" s="110" t="s">
        <v>428</v>
      </c>
      <c r="F3" s="125"/>
      <c r="G3" s="109"/>
      <c r="H3" s="109"/>
      <c r="I3" s="109"/>
      <c r="J3" s="109"/>
      <c r="K3" s="109"/>
      <c r="L3" s="109"/>
      <c r="M3" s="109"/>
      <c r="N3" s="109"/>
      <c r="O3" s="51"/>
      <c r="P3" s="51"/>
      <c r="Q3" s="51"/>
      <c r="R3" s="51"/>
      <c r="S3" s="51"/>
      <c r="T3" s="51"/>
      <c r="U3" s="51"/>
      <c r="V3" s="51"/>
      <c r="W3" s="51"/>
      <c r="X3" s="51"/>
    </row>
    <row r="4" spans="1:24" s="1" customFormat="1" ht="15" customHeight="1" x14ac:dyDescent="0.45">
      <c r="E4" s="394" t="s">
        <v>264</v>
      </c>
      <c r="F4" s="394"/>
    </row>
    <row r="5" spans="1:24" ht="15" x14ac:dyDescent="0.45">
      <c r="A5" s="75" t="s">
        <v>0</v>
      </c>
      <c r="C5" s="20" t="s">
        <v>20</v>
      </c>
      <c r="D5" s="46" t="s">
        <v>21</v>
      </c>
      <c r="E5" s="101" t="s">
        <v>25</v>
      </c>
      <c r="F5" s="103" t="s">
        <v>32</v>
      </c>
      <c r="P5"/>
      <c r="W5"/>
    </row>
    <row r="6" spans="1:24" ht="15" customHeight="1" x14ac:dyDescent="0.45">
      <c r="A6" s="69">
        <f>Main!$B$24</f>
        <v>8.1</v>
      </c>
      <c r="B6" s="137" t="str">
        <f>IF(OR($A$6&lt;3,$A$6&gt;8.5),"! Not Applicable !","")</f>
        <v/>
      </c>
      <c r="C6" s="393" t="s">
        <v>431</v>
      </c>
      <c r="D6" s="115">
        <v>0.01</v>
      </c>
      <c r="E6" s="7">
        <f>ASK_14($A$6,$A$9,$A$12,$A$15,$A$24,$A$27,$A$30,$A$51,$A$36,$A$45,$A$33,$A$21,$A$48, $A$42,$A$18,$A$54,$D6)</f>
        <v>0.33160255623034579</v>
      </c>
      <c r="F6" s="7">
        <f>ASK14_stdev($A$6,$A$9,$A$12,$A$15,$A$24,$A$27,$A$30,$A$51,$A$36,$A$45,$A$33,$A$21,$A$48,$A$42,$A$18,$A$54,D6)</f>
        <v>0.57673667684590679</v>
      </c>
      <c r="G6" s="32"/>
      <c r="H6" s="42"/>
      <c r="P6"/>
      <c r="W6"/>
    </row>
    <row r="7" spans="1:24" x14ac:dyDescent="0.45">
      <c r="A7" s="69"/>
      <c r="C7" s="393"/>
      <c r="D7" s="115">
        <v>0.02</v>
      </c>
      <c r="E7" s="7">
        <f t="shared" ref="E7:E26" si="0">ASK_14($A$6,$A$9,$A$12,$A$15,$A$24,$A$27,$A$30,$A$51,$A$36,$A$45,$A$33,$A$21,$A$48, $A$42,$A$18,$A$54,$D7)</f>
        <v>0.33453096860542397</v>
      </c>
      <c r="F7" s="7">
        <f t="shared" ref="F7:F26" si="1">ASK14_stdev($A$6,$A$9,$A$12,$A$15,$A$24,$A$27,$A$30,$A$51,$A$36,$A$45,$A$33,$A$21,$A$48,$A$42,$A$18,$A$54,D7)</f>
        <v>0.57261160004887834</v>
      </c>
      <c r="G7" s="32"/>
      <c r="H7" s="42"/>
      <c r="P7"/>
      <c r="W7"/>
    </row>
    <row r="8" spans="1:24" ht="15" x14ac:dyDescent="0.45">
      <c r="A8" s="46" t="s">
        <v>1</v>
      </c>
      <c r="C8" s="393"/>
      <c r="D8" s="115">
        <v>0.03</v>
      </c>
      <c r="E8" s="7">
        <f t="shared" si="0"/>
        <v>0.33457777793472226</v>
      </c>
      <c r="F8" s="7">
        <f t="shared" si="1"/>
        <v>0.55731262150798433</v>
      </c>
      <c r="G8" s="32"/>
      <c r="H8" s="42"/>
      <c r="P8"/>
      <c r="W8"/>
    </row>
    <row r="9" spans="1:24" x14ac:dyDescent="0.45">
      <c r="A9" s="69">
        <f>Main!$B$27</f>
        <v>15.08</v>
      </c>
      <c r="B9" s="137" t="str">
        <f>IF(AND($A$9&gt;=0, $A$9&lt;=300),"","! Not Applicable !")</f>
        <v/>
      </c>
      <c r="C9" s="393"/>
      <c r="D9" s="115">
        <v>0.05</v>
      </c>
      <c r="E9" s="7">
        <f t="shared" si="0"/>
        <v>0.36231023906326904</v>
      </c>
      <c r="F9" s="7">
        <f t="shared" si="1"/>
        <v>0.54143173754951412</v>
      </c>
      <c r="G9" s="32"/>
      <c r="H9" s="42"/>
      <c r="P9"/>
      <c r="W9"/>
    </row>
    <row r="10" spans="1:24" x14ac:dyDescent="0.45">
      <c r="A10" s="69"/>
      <c r="C10" s="393"/>
      <c r="D10" s="115">
        <v>7.4999999999999997E-2</v>
      </c>
      <c r="E10" s="7">
        <f t="shared" si="0"/>
        <v>0.43570338890679983</v>
      </c>
      <c r="F10" s="7">
        <f t="shared" si="1"/>
        <v>0.53158994961508099</v>
      </c>
      <c r="G10" s="32"/>
      <c r="H10" s="42"/>
      <c r="P10"/>
      <c r="W10"/>
    </row>
    <row r="11" spans="1:24" ht="15" x14ac:dyDescent="0.45">
      <c r="A11" s="46" t="s">
        <v>2</v>
      </c>
      <c r="C11" s="393"/>
      <c r="D11" s="115">
        <v>0.1</v>
      </c>
      <c r="E11" s="7">
        <f t="shared" si="0"/>
        <v>0.52435403939223424</v>
      </c>
      <c r="F11" s="7">
        <f t="shared" si="1"/>
        <v>0.53007205164637272</v>
      </c>
      <c r="G11" s="32"/>
      <c r="H11" s="42"/>
      <c r="P11"/>
      <c r="W11"/>
    </row>
    <row r="12" spans="1:24" x14ac:dyDescent="0.45">
      <c r="A12" s="69">
        <f>Main!$B$30</f>
        <v>15.08</v>
      </c>
      <c r="C12" s="393"/>
      <c r="D12" s="115">
        <v>0.15</v>
      </c>
      <c r="E12" s="7">
        <f t="shared" si="0"/>
        <v>0.72569105814758517</v>
      </c>
      <c r="F12" s="7">
        <f t="shared" si="1"/>
        <v>0.5378642997196289</v>
      </c>
      <c r="G12" s="32"/>
      <c r="H12" s="42"/>
      <c r="P12"/>
      <c r="W12"/>
    </row>
    <row r="13" spans="1:24" x14ac:dyDescent="0.45">
      <c r="A13" s="69"/>
      <c r="C13" s="393"/>
      <c r="D13" s="115">
        <v>0.2</v>
      </c>
      <c r="E13" s="7">
        <f t="shared" si="0"/>
        <v>0.88005203780942332</v>
      </c>
      <c r="F13" s="7">
        <f t="shared" si="1"/>
        <v>0.56469990451696173</v>
      </c>
      <c r="G13" s="32"/>
      <c r="H13" s="42"/>
      <c r="P13"/>
      <c r="W13"/>
    </row>
    <row r="14" spans="1:24" ht="15" x14ac:dyDescent="0.45">
      <c r="A14" s="46" t="s">
        <v>3</v>
      </c>
      <c r="C14" s="393"/>
      <c r="D14" s="115">
        <v>0.25</v>
      </c>
      <c r="E14" s="7">
        <f t="shared" si="0"/>
        <v>0.95113176339500893</v>
      </c>
      <c r="F14" s="7">
        <f t="shared" si="1"/>
        <v>0.60072039057327198</v>
      </c>
      <c r="G14" s="32"/>
      <c r="H14" s="42"/>
      <c r="P14"/>
      <c r="W14"/>
    </row>
    <row r="15" spans="1:24" x14ac:dyDescent="0.45">
      <c r="A15" s="69">
        <f>Main!$B$33</f>
        <v>15.08</v>
      </c>
      <c r="C15" s="393"/>
      <c r="D15" s="115">
        <v>0.3</v>
      </c>
      <c r="E15" s="7">
        <f t="shared" si="0"/>
        <v>0.96937884828016707</v>
      </c>
      <c r="F15" s="7">
        <f t="shared" si="1"/>
        <v>0.64092148775542856</v>
      </c>
      <c r="G15" s="32"/>
      <c r="H15" s="42"/>
      <c r="P15"/>
      <c r="W15"/>
    </row>
    <row r="16" spans="1:24" x14ac:dyDescent="0.45">
      <c r="A16" s="70"/>
      <c r="C16" s="393"/>
      <c r="D16" s="115">
        <v>0.4</v>
      </c>
      <c r="E16" s="7">
        <f t="shared" si="0"/>
        <v>0.91151141149351833</v>
      </c>
      <c r="F16" s="7">
        <f t="shared" si="1"/>
        <v>0.69115844782509894</v>
      </c>
      <c r="G16" s="32"/>
      <c r="H16" s="42"/>
      <c r="P16"/>
      <c r="W16"/>
    </row>
    <row r="17" spans="1:23" x14ac:dyDescent="0.45">
      <c r="A17" s="43" t="s">
        <v>184</v>
      </c>
      <c r="C17" s="393"/>
      <c r="D17" s="115">
        <v>0.5</v>
      </c>
      <c r="E17" s="7">
        <f t="shared" si="0"/>
        <v>0.80535969518319661</v>
      </c>
      <c r="F17" s="7">
        <f t="shared" si="1"/>
        <v>0.69971422738143607</v>
      </c>
      <c r="G17" s="32"/>
      <c r="H17" s="42"/>
      <c r="P17"/>
      <c r="W17"/>
    </row>
    <row r="18" spans="1:23" x14ac:dyDescent="0.45">
      <c r="A18" s="118">
        <f>Main!$B$36</f>
        <v>999</v>
      </c>
      <c r="C18" s="393"/>
      <c r="D18" s="115">
        <v>0.75</v>
      </c>
      <c r="E18" s="7">
        <f t="shared" si="0"/>
        <v>0.60326362260730948</v>
      </c>
      <c r="F18" s="7">
        <f t="shared" si="1"/>
        <v>0.71261841121318215</v>
      </c>
      <c r="G18" s="32"/>
      <c r="H18" s="42"/>
      <c r="P18"/>
      <c r="W18"/>
    </row>
    <row r="19" spans="1:23" x14ac:dyDescent="0.45">
      <c r="C19" s="393"/>
      <c r="D19" s="115">
        <v>1</v>
      </c>
      <c r="E19" s="7">
        <f t="shared" si="0"/>
        <v>0.4679777665846685</v>
      </c>
      <c r="F19" s="7">
        <f t="shared" si="1"/>
        <v>0.7256031973468694</v>
      </c>
      <c r="G19" s="32"/>
      <c r="H19" s="42"/>
      <c r="P19"/>
      <c r="W19"/>
    </row>
    <row r="20" spans="1:23" ht="15" x14ac:dyDescent="0.45">
      <c r="A20" s="46" t="s">
        <v>11</v>
      </c>
      <c r="C20" s="393"/>
      <c r="D20" s="115">
        <v>1.5</v>
      </c>
      <c r="E20" s="7">
        <f t="shared" si="0"/>
        <v>0.32142505589052983</v>
      </c>
      <c r="F20" s="7">
        <f t="shared" si="1"/>
        <v>0.73430239002743281</v>
      </c>
      <c r="G20" s="32"/>
      <c r="H20" s="42"/>
      <c r="P20"/>
      <c r="W20"/>
    </row>
    <row r="21" spans="1:23" x14ac:dyDescent="0.45">
      <c r="A21" s="70">
        <f>Main!$B$39</f>
        <v>360</v>
      </c>
      <c r="B21" s="140" t="str">
        <f>IF($A$21&lt;180,"! Not Applicable !",IF($A$21&gt;1000,"Out of Range! Use 760 m/s",""))</f>
        <v/>
      </c>
      <c r="C21" s="393"/>
      <c r="D21" s="115">
        <v>2</v>
      </c>
      <c r="E21" s="7">
        <f t="shared" si="0"/>
        <v>0.23204098676982815</v>
      </c>
      <c r="F21" s="7">
        <f t="shared" si="1"/>
        <v>0.743034319530397</v>
      </c>
      <c r="G21" s="32"/>
      <c r="H21" s="42"/>
      <c r="P21"/>
      <c r="W21"/>
    </row>
    <row r="22" spans="1:23" x14ac:dyDescent="0.45">
      <c r="C22" s="393"/>
      <c r="D22" s="115">
        <v>3</v>
      </c>
      <c r="E22" s="7">
        <f t="shared" si="0"/>
        <v>0.15387124876434033</v>
      </c>
      <c r="F22" s="7">
        <f t="shared" si="1"/>
        <v>0.73430239002743281</v>
      </c>
      <c r="G22" s="32"/>
      <c r="H22" s="42"/>
      <c r="P22"/>
      <c r="W22"/>
    </row>
    <row r="23" spans="1:23" ht="15" x14ac:dyDescent="0.45">
      <c r="A23" s="46" t="s">
        <v>4</v>
      </c>
      <c r="C23" s="393"/>
      <c r="D23" s="115">
        <v>4</v>
      </c>
      <c r="E23" s="7">
        <f t="shared" si="0"/>
        <v>0.11736667424857619</v>
      </c>
      <c r="F23" s="7">
        <f t="shared" si="1"/>
        <v>0.7256031973468694</v>
      </c>
      <c r="G23" s="32"/>
      <c r="H23" s="42"/>
      <c r="P23"/>
      <c r="W23"/>
    </row>
    <row r="24" spans="1:23" x14ac:dyDescent="0.45">
      <c r="A24" s="70">
        <f>Main!$B$45</f>
        <v>0</v>
      </c>
      <c r="C24" s="393"/>
      <c r="D24" s="115">
        <v>5</v>
      </c>
      <c r="E24" s="7">
        <f t="shared" si="0"/>
        <v>9.3588372313224241E-2</v>
      </c>
      <c r="F24" s="7">
        <f t="shared" si="1"/>
        <v>0.7256031973468694</v>
      </c>
      <c r="G24" s="32"/>
      <c r="H24" s="42"/>
      <c r="P24"/>
      <c r="W24"/>
    </row>
    <row r="25" spans="1:23" x14ac:dyDescent="0.45">
      <c r="A25" s="70"/>
      <c r="C25" s="393"/>
      <c r="D25" s="115">
        <v>7.5</v>
      </c>
      <c r="E25" s="7">
        <f t="shared" si="0"/>
        <v>6.0076991670361797E-2</v>
      </c>
      <c r="F25" s="7">
        <f t="shared" si="1"/>
        <v>0.7256031973468694</v>
      </c>
      <c r="G25" s="32"/>
      <c r="H25" s="42"/>
      <c r="P25"/>
      <c r="W25"/>
    </row>
    <row r="26" spans="1:23" ht="15" x14ac:dyDescent="0.45">
      <c r="A26" s="46" t="s">
        <v>5</v>
      </c>
      <c r="C26" s="393"/>
      <c r="D26" s="115">
        <v>10</v>
      </c>
      <c r="E26" s="7">
        <f t="shared" si="0"/>
        <v>4.1085042134418111E-2</v>
      </c>
      <c r="F26" s="7">
        <f t="shared" si="1"/>
        <v>0.7256031973468694</v>
      </c>
      <c r="G26" s="32"/>
      <c r="H26" s="42"/>
      <c r="P26"/>
      <c r="W26"/>
    </row>
    <row r="27" spans="1:23" x14ac:dyDescent="0.45">
      <c r="A27" s="70">
        <f>Main!$B$48</f>
        <v>0</v>
      </c>
      <c r="E27" s="6"/>
      <c r="F27" s="6"/>
      <c r="G27" s="32"/>
      <c r="H27" s="42"/>
      <c r="P27"/>
      <c r="W27"/>
    </row>
    <row r="28" spans="1:23" x14ac:dyDescent="0.45">
      <c r="C28" s="35" t="s">
        <v>34</v>
      </c>
      <c r="D28" s="115">
        <v>0</v>
      </c>
      <c r="E28" s="7">
        <f>ASK_14($A$6,$A$9,$A$12,$A$15,$A$24,$A$27,$A$30,$A$51,$A$36,$A$45,$A$33,$A$21,$A$48,$A$42,$A$18,$A$54,D28)</f>
        <v>0.33160255623034579</v>
      </c>
      <c r="F28" s="7">
        <f>ASK14_stdev($A$6,$A$9,$A$12,$A$15,$A$24,$A$27,$A$30,$A$51,$A$36,$A$45,$A$33,$A$21,$A$48,$A$42,$A$18,$A$54,D28)</f>
        <v>0.57673667684590679</v>
      </c>
      <c r="G28" s="32"/>
      <c r="H28" s="42"/>
      <c r="P28"/>
      <c r="W28"/>
    </row>
    <row r="29" spans="1:23" ht="15" x14ac:dyDescent="0.45">
      <c r="A29" s="43" t="s">
        <v>79</v>
      </c>
      <c r="C29" s="35" t="s">
        <v>35</v>
      </c>
      <c r="D29" s="115">
        <v>-1</v>
      </c>
      <c r="E29" s="7">
        <f>ASK_14($A$6,$A$9,$A$12,$A$15,$A$24,$A$27,$A$30,$A$51,$A$36,$A$45,$A$33,$A$21,$A$48,$A$42,$A$18,$A$54,D29)</f>
        <v>47.329010139753478</v>
      </c>
      <c r="F29" s="7">
        <f>ASK14_stdev($A$6,$A$9,$A$12,$A$15,$A$24,$A$27,$A$30,$A$51,$A$36,$A$45,$A$33,$A$21,$A$48,$A$42,$A$18,$A$54,D29)</f>
        <v>0.6360031446463138</v>
      </c>
      <c r="G29" s="32"/>
      <c r="H29" s="42"/>
    </row>
    <row r="30" spans="1:23" x14ac:dyDescent="0.45">
      <c r="A30" s="49">
        <f>Main!$B$51</f>
        <v>0</v>
      </c>
      <c r="H30" s="41"/>
    </row>
    <row r="31" spans="1:23" x14ac:dyDescent="0.45">
      <c r="G31" s="7"/>
    </row>
    <row r="32" spans="1:23" ht="15" x14ac:dyDescent="0.45">
      <c r="A32" s="22" t="s">
        <v>10</v>
      </c>
      <c r="G32" s="7"/>
    </row>
    <row r="33" spans="1:17" x14ac:dyDescent="0.45">
      <c r="A33" s="70">
        <f>Main!$B$54</f>
        <v>90</v>
      </c>
      <c r="B33" s="137" t="str">
        <f>IF($A$21&lt;180,"! Not Applicable !", IF(AND($A$21&gt;=180, $A$21&lt;=1000),"","! Not Applicable !"))</f>
        <v/>
      </c>
      <c r="G33" s="7"/>
    </row>
    <row r="34" spans="1:17" x14ac:dyDescent="0.45">
      <c r="G34" s="7"/>
    </row>
    <row r="35" spans="1:17" ht="15" x14ac:dyDescent="0.45">
      <c r="A35" s="46" t="s">
        <v>7</v>
      </c>
      <c r="G35" s="7"/>
      <c r="Q35" s="41"/>
    </row>
    <row r="36" spans="1:17" x14ac:dyDescent="0.45">
      <c r="A36" s="72">
        <f>Main!$B$57</f>
        <v>0.3</v>
      </c>
      <c r="G36" s="7"/>
      <c r="Q36" s="41"/>
    </row>
    <row r="37" spans="1:17" x14ac:dyDescent="0.45">
      <c r="G37" s="7"/>
      <c r="Q37" s="41"/>
    </row>
    <row r="38" spans="1:17" ht="15" x14ac:dyDescent="0.45">
      <c r="A38" s="46" t="s">
        <v>81</v>
      </c>
      <c r="G38" s="7"/>
      <c r="Q38" s="41"/>
    </row>
    <row r="39" spans="1:17" x14ac:dyDescent="0.45">
      <c r="A39" s="69">
        <f>Main!$B$63</f>
        <v>0.5</v>
      </c>
      <c r="G39" s="7"/>
      <c r="Q39" s="41"/>
    </row>
    <row r="40" spans="1:17" x14ac:dyDescent="0.45">
      <c r="A40" s="70"/>
      <c r="G40" s="7"/>
      <c r="Q40" s="41"/>
    </row>
    <row r="41" spans="1:17" ht="15" x14ac:dyDescent="0.45">
      <c r="A41" s="46" t="s">
        <v>219</v>
      </c>
      <c r="G41" s="7"/>
      <c r="Q41" s="41"/>
    </row>
    <row r="42" spans="1:17" x14ac:dyDescent="0.45">
      <c r="A42" s="61">
        <f>ASK14_Z1($A$21,$A$54,$A$39)</f>
        <v>0.5</v>
      </c>
      <c r="B42" s="126" t="s">
        <v>286</v>
      </c>
      <c r="G42" s="7"/>
      <c r="Q42" s="41"/>
    </row>
    <row r="43" spans="1:17" x14ac:dyDescent="0.45">
      <c r="G43" s="7"/>
      <c r="Q43" s="41"/>
    </row>
    <row r="44" spans="1:17" x14ac:dyDescent="0.45">
      <c r="A44" s="46" t="s">
        <v>9</v>
      </c>
      <c r="G44" s="7"/>
      <c r="Q44" s="41"/>
    </row>
    <row r="45" spans="1:17" x14ac:dyDescent="0.45">
      <c r="A45" s="69">
        <f>Main!$B$69</f>
        <v>13</v>
      </c>
      <c r="G45" s="7"/>
      <c r="Q45" s="41"/>
    </row>
    <row r="46" spans="1:17" x14ac:dyDescent="0.45">
      <c r="G46" s="7"/>
      <c r="Q46" s="41"/>
    </row>
    <row r="47" spans="1:17" x14ac:dyDescent="0.45">
      <c r="A47" s="97" t="s">
        <v>220</v>
      </c>
      <c r="B47" s="126" t="s">
        <v>290</v>
      </c>
      <c r="G47" s="7"/>
    </row>
    <row r="48" spans="1:17" x14ac:dyDescent="0.45">
      <c r="A48" s="70">
        <f>Main!$B$95</f>
        <v>0</v>
      </c>
      <c r="B48" s="49"/>
      <c r="G48" s="7"/>
    </row>
    <row r="49" spans="1:7" x14ac:dyDescent="0.45">
      <c r="A49" s="69"/>
      <c r="G49" s="7"/>
    </row>
    <row r="50" spans="1:7" ht="15" x14ac:dyDescent="0.45">
      <c r="A50" s="43" t="s">
        <v>274</v>
      </c>
      <c r="G50" s="7"/>
    </row>
    <row r="51" spans="1:7" x14ac:dyDescent="0.45">
      <c r="A51" s="118">
        <f>Main!$B$98</f>
        <v>0</v>
      </c>
      <c r="B51" s="298" t="s">
        <v>802</v>
      </c>
      <c r="G51" s="7"/>
    </row>
    <row r="52" spans="1:7" x14ac:dyDescent="0.45">
      <c r="A52" s="69"/>
      <c r="G52" s="7"/>
    </row>
    <row r="53" spans="1:7" x14ac:dyDescent="0.45">
      <c r="A53" s="46" t="s">
        <v>183</v>
      </c>
      <c r="G53" s="7"/>
    </row>
    <row r="54" spans="1:7" x14ac:dyDescent="0.45">
      <c r="A54" s="118">
        <f>Main!$B$101</f>
        <v>0</v>
      </c>
    </row>
    <row r="55" spans="1:7" x14ac:dyDescent="0.45">
      <c r="A55" s="69"/>
    </row>
    <row r="56" spans="1:7" ht="18.75" customHeight="1" x14ac:dyDescent="0.45">
      <c r="A56" s="139" t="s">
        <v>400</v>
      </c>
      <c r="B56" s="173"/>
      <c r="C56" s="170"/>
      <c r="D56" s="170"/>
      <c r="E56" s="170"/>
    </row>
    <row r="57" spans="1:7" x14ac:dyDescent="0.45">
      <c r="A57" s="70"/>
    </row>
    <row r="58" spans="1:7" ht="15" x14ac:dyDescent="0.45">
      <c r="A58" s="46" t="s">
        <v>405</v>
      </c>
    </row>
    <row r="59" spans="1:7" x14ac:dyDescent="0.45">
      <c r="A59" s="76">
        <f>ASK14_Z1($A$21,$A$54,$A$39)</f>
        <v>0.5</v>
      </c>
    </row>
    <row r="60" spans="1:7" x14ac:dyDescent="0.45">
      <c r="C60" s="5"/>
    </row>
    <row r="61" spans="1:7" x14ac:dyDescent="0.45">
      <c r="C61" s="5"/>
    </row>
    <row r="62" spans="1:7" x14ac:dyDescent="0.45">
      <c r="C62" s="5"/>
    </row>
    <row r="70" spans="1:2" x14ac:dyDescent="0.45">
      <c r="A70" s="106"/>
    </row>
    <row r="75" spans="1:2" x14ac:dyDescent="0.45">
      <c r="A75" s="72"/>
      <c r="B75" s="54"/>
    </row>
    <row r="76" spans="1:2" x14ac:dyDescent="0.45">
      <c r="A76" s="119"/>
      <c r="B76" s="56"/>
    </row>
    <row r="77" spans="1:2" x14ac:dyDescent="0.45">
      <c r="A77" s="119"/>
      <c r="B77" s="55"/>
    </row>
    <row r="79" spans="1:2" x14ac:dyDescent="0.45">
      <c r="A79" s="75"/>
      <c r="B79" s="55"/>
    </row>
    <row r="80" spans="1:2" x14ac:dyDescent="0.45">
      <c r="A80" s="120"/>
      <c r="B80" s="55"/>
    </row>
    <row r="81" spans="1:2" x14ac:dyDescent="0.45">
      <c r="A81" s="120"/>
      <c r="B81" s="56"/>
    </row>
    <row r="82" spans="1:2" x14ac:dyDescent="0.45">
      <c r="A82" s="120"/>
      <c r="B82" s="56"/>
    </row>
    <row r="83" spans="1:2" x14ac:dyDescent="0.45">
      <c r="A83" s="120"/>
      <c r="B83" s="56"/>
    </row>
    <row r="84" spans="1:2" x14ac:dyDescent="0.45">
      <c r="A84" s="120"/>
      <c r="B84" s="56"/>
    </row>
    <row r="85" spans="1:2" x14ac:dyDescent="0.45">
      <c r="A85" s="119"/>
    </row>
    <row r="86" spans="1:2" x14ac:dyDescent="0.45">
      <c r="A86" s="121"/>
    </row>
  </sheetData>
  <sheetProtection password="EDF4" sheet="1" objects="1" scenarios="1" selectLockedCells="1" selectUnlockedCells="1"/>
  <mergeCells count="2">
    <mergeCell ref="C6:C26"/>
    <mergeCell ref="E4:F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T53"/>
  <sheetViews>
    <sheetView topLeftCell="Z1" workbookViewId="0">
      <selection activeCell="AC17" sqref="AC17"/>
    </sheetView>
  </sheetViews>
  <sheetFormatPr defaultColWidth="8.86328125" defaultRowHeight="14.25" x14ac:dyDescent="0.45"/>
  <cols>
    <col min="23" max="23" width="12.1328125" customWidth="1"/>
    <col min="24" max="24" width="13.1328125" customWidth="1"/>
    <col min="25" max="26" width="12" customWidth="1"/>
    <col min="37" max="37" width="10.1328125" customWidth="1"/>
    <col min="38" max="38" width="10.3984375" customWidth="1"/>
    <col min="275" max="275" width="12.1328125" customWidth="1"/>
    <col min="276" max="276" width="13.1328125" customWidth="1"/>
    <col min="277" max="279" width="12" customWidth="1"/>
    <col min="291" max="294" width="10.3984375" customWidth="1"/>
    <col min="531" max="531" width="12.1328125" customWidth="1"/>
    <col min="532" max="532" width="13.1328125" customWidth="1"/>
    <col min="533" max="535" width="12" customWidth="1"/>
    <col min="547" max="550" width="10.3984375" customWidth="1"/>
    <col min="787" max="787" width="12.1328125" customWidth="1"/>
    <col min="788" max="788" width="13.1328125" customWidth="1"/>
    <col min="789" max="791" width="12" customWidth="1"/>
    <col min="803" max="806" width="10.3984375" customWidth="1"/>
    <col min="1043" max="1043" width="12.1328125" customWidth="1"/>
    <col min="1044" max="1044" width="13.1328125" customWidth="1"/>
    <col min="1045" max="1047" width="12" customWidth="1"/>
    <col min="1059" max="1062" width="10.3984375" customWidth="1"/>
    <col min="1299" max="1299" width="12.1328125" customWidth="1"/>
    <col min="1300" max="1300" width="13.1328125" customWidth="1"/>
    <col min="1301" max="1303" width="12" customWidth="1"/>
    <col min="1315" max="1318" width="10.3984375" customWidth="1"/>
    <col min="1555" max="1555" width="12.1328125" customWidth="1"/>
    <col min="1556" max="1556" width="13.1328125" customWidth="1"/>
    <col min="1557" max="1559" width="12" customWidth="1"/>
    <col min="1571" max="1574" width="10.3984375" customWidth="1"/>
    <col min="1811" max="1811" width="12.1328125" customWidth="1"/>
    <col min="1812" max="1812" width="13.1328125" customWidth="1"/>
    <col min="1813" max="1815" width="12" customWidth="1"/>
    <col min="1827" max="1830" width="10.3984375" customWidth="1"/>
    <col min="2067" max="2067" width="12.1328125" customWidth="1"/>
    <col min="2068" max="2068" width="13.1328125" customWidth="1"/>
    <col min="2069" max="2071" width="12" customWidth="1"/>
    <col min="2083" max="2086" width="10.3984375" customWidth="1"/>
    <col min="2323" max="2323" width="12.1328125" customWidth="1"/>
    <col min="2324" max="2324" width="13.1328125" customWidth="1"/>
    <col min="2325" max="2327" width="12" customWidth="1"/>
    <col min="2339" max="2342" width="10.3984375" customWidth="1"/>
    <col min="2579" max="2579" width="12.1328125" customWidth="1"/>
    <col min="2580" max="2580" width="13.1328125" customWidth="1"/>
    <col min="2581" max="2583" width="12" customWidth="1"/>
    <col min="2595" max="2598" width="10.3984375" customWidth="1"/>
    <col min="2835" max="2835" width="12.1328125" customWidth="1"/>
    <col min="2836" max="2836" width="13.1328125" customWidth="1"/>
    <col min="2837" max="2839" width="12" customWidth="1"/>
    <col min="2851" max="2854" width="10.3984375" customWidth="1"/>
    <col min="3091" max="3091" width="12.1328125" customWidth="1"/>
    <col min="3092" max="3092" width="13.1328125" customWidth="1"/>
    <col min="3093" max="3095" width="12" customWidth="1"/>
    <col min="3107" max="3110" width="10.3984375" customWidth="1"/>
    <col min="3347" max="3347" width="12.1328125" customWidth="1"/>
    <col min="3348" max="3348" width="13.1328125" customWidth="1"/>
    <col min="3349" max="3351" width="12" customWidth="1"/>
    <col min="3363" max="3366" width="10.3984375" customWidth="1"/>
    <col min="3603" max="3603" width="12.1328125" customWidth="1"/>
    <col min="3604" max="3604" width="13.1328125" customWidth="1"/>
    <col min="3605" max="3607" width="12" customWidth="1"/>
    <col min="3619" max="3622" width="10.3984375" customWidth="1"/>
    <col min="3859" max="3859" width="12.1328125" customWidth="1"/>
    <col min="3860" max="3860" width="13.1328125" customWidth="1"/>
    <col min="3861" max="3863" width="12" customWidth="1"/>
    <col min="3875" max="3878" width="10.3984375" customWidth="1"/>
    <col min="4115" max="4115" width="12.1328125" customWidth="1"/>
    <col min="4116" max="4116" width="13.1328125" customWidth="1"/>
    <col min="4117" max="4119" width="12" customWidth="1"/>
    <col min="4131" max="4134" width="10.3984375" customWidth="1"/>
    <col min="4371" max="4371" width="12.1328125" customWidth="1"/>
    <col min="4372" max="4372" width="13.1328125" customWidth="1"/>
    <col min="4373" max="4375" width="12" customWidth="1"/>
    <col min="4387" max="4390" width="10.3984375" customWidth="1"/>
    <col min="4627" max="4627" width="12.1328125" customWidth="1"/>
    <col min="4628" max="4628" width="13.1328125" customWidth="1"/>
    <col min="4629" max="4631" width="12" customWidth="1"/>
    <col min="4643" max="4646" width="10.3984375" customWidth="1"/>
    <col min="4883" max="4883" width="12.1328125" customWidth="1"/>
    <col min="4884" max="4884" width="13.1328125" customWidth="1"/>
    <col min="4885" max="4887" width="12" customWidth="1"/>
    <col min="4899" max="4902" width="10.3984375" customWidth="1"/>
    <col min="5139" max="5139" width="12.1328125" customWidth="1"/>
    <col min="5140" max="5140" width="13.1328125" customWidth="1"/>
    <col min="5141" max="5143" width="12" customWidth="1"/>
    <col min="5155" max="5158" width="10.3984375" customWidth="1"/>
    <col min="5395" max="5395" width="12.1328125" customWidth="1"/>
    <col min="5396" max="5396" width="13.1328125" customWidth="1"/>
    <col min="5397" max="5399" width="12" customWidth="1"/>
    <col min="5411" max="5414" width="10.3984375" customWidth="1"/>
    <col min="5651" max="5651" width="12.1328125" customWidth="1"/>
    <col min="5652" max="5652" width="13.1328125" customWidth="1"/>
    <col min="5653" max="5655" width="12" customWidth="1"/>
    <col min="5667" max="5670" width="10.3984375" customWidth="1"/>
    <col min="5907" max="5907" width="12.1328125" customWidth="1"/>
    <col min="5908" max="5908" width="13.1328125" customWidth="1"/>
    <col min="5909" max="5911" width="12" customWidth="1"/>
    <col min="5923" max="5926" width="10.3984375" customWidth="1"/>
    <col min="6163" max="6163" width="12.1328125" customWidth="1"/>
    <col min="6164" max="6164" width="13.1328125" customWidth="1"/>
    <col min="6165" max="6167" width="12" customWidth="1"/>
    <col min="6179" max="6182" width="10.3984375" customWidth="1"/>
    <col min="6419" max="6419" width="12.1328125" customWidth="1"/>
    <col min="6420" max="6420" width="13.1328125" customWidth="1"/>
    <col min="6421" max="6423" width="12" customWidth="1"/>
    <col min="6435" max="6438" width="10.3984375" customWidth="1"/>
    <col min="6675" max="6675" width="12.1328125" customWidth="1"/>
    <col min="6676" max="6676" width="13.1328125" customWidth="1"/>
    <col min="6677" max="6679" width="12" customWidth="1"/>
    <col min="6691" max="6694" width="10.3984375" customWidth="1"/>
    <col min="6931" max="6931" width="12.1328125" customWidth="1"/>
    <col min="6932" max="6932" width="13.1328125" customWidth="1"/>
    <col min="6933" max="6935" width="12" customWidth="1"/>
    <col min="6947" max="6950" width="10.3984375" customWidth="1"/>
    <col min="7187" max="7187" width="12.1328125" customWidth="1"/>
    <col min="7188" max="7188" width="13.1328125" customWidth="1"/>
    <col min="7189" max="7191" width="12" customWidth="1"/>
    <col min="7203" max="7206" width="10.3984375" customWidth="1"/>
    <col min="7443" max="7443" width="12.1328125" customWidth="1"/>
    <col min="7444" max="7444" width="13.1328125" customWidth="1"/>
    <col min="7445" max="7447" width="12" customWidth="1"/>
    <col min="7459" max="7462" width="10.3984375" customWidth="1"/>
    <col min="7699" max="7699" width="12.1328125" customWidth="1"/>
    <col min="7700" max="7700" width="13.1328125" customWidth="1"/>
    <col min="7701" max="7703" width="12" customWidth="1"/>
    <col min="7715" max="7718" width="10.3984375" customWidth="1"/>
    <col min="7955" max="7955" width="12.1328125" customWidth="1"/>
    <col min="7956" max="7956" width="13.1328125" customWidth="1"/>
    <col min="7957" max="7959" width="12" customWidth="1"/>
    <col min="7971" max="7974" width="10.3984375" customWidth="1"/>
    <col min="8211" max="8211" width="12.1328125" customWidth="1"/>
    <col min="8212" max="8212" width="13.1328125" customWidth="1"/>
    <col min="8213" max="8215" width="12" customWidth="1"/>
    <col min="8227" max="8230" width="10.3984375" customWidth="1"/>
    <col min="8467" max="8467" width="12.1328125" customWidth="1"/>
    <col min="8468" max="8468" width="13.1328125" customWidth="1"/>
    <col min="8469" max="8471" width="12" customWidth="1"/>
    <col min="8483" max="8486" width="10.3984375" customWidth="1"/>
    <col min="8723" max="8723" width="12.1328125" customWidth="1"/>
    <col min="8724" max="8724" width="13.1328125" customWidth="1"/>
    <col min="8725" max="8727" width="12" customWidth="1"/>
    <col min="8739" max="8742" width="10.3984375" customWidth="1"/>
    <col min="8979" max="8979" width="12.1328125" customWidth="1"/>
    <col min="8980" max="8980" width="13.1328125" customWidth="1"/>
    <col min="8981" max="8983" width="12" customWidth="1"/>
    <col min="8995" max="8998" width="10.3984375" customWidth="1"/>
    <col min="9235" max="9235" width="12.1328125" customWidth="1"/>
    <col min="9236" max="9236" width="13.1328125" customWidth="1"/>
    <col min="9237" max="9239" width="12" customWidth="1"/>
    <col min="9251" max="9254" width="10.3984375" customWidth="1"/>
    <col min="9491" max="9491" width="12.1328125" customWidth="1"/>
    <col min="9492" max="9492" width="13.1328125" customWidth="1"/>
    <col min="9493" max="9495" width="12" customWidth="1"/>
    <col min="9507" max="9510" width="10.3984375" customWidth="1"/>
    <col min="9747" max="9747" width="12.1328125" customWidth="1"/>
    <col min="9748" max="9748" width="13.1328125" customWidth="1"/>
    <col min="9749" max="9751" width="12" customWidth="1"/>
    <col min="9763" max="9766" width="10.3984375" customWidth="1"/>
    <col min="10003" max="10003" width="12.1328125" customWidth="1"/>
    <col min="10004" max="10004" width="13.1328125" customWidth="1"/>
    <col min="10005" max="10007" width="12" customWidth="1"/>
    <col min="10019" max="10022" width="10.3984375" customWidth="1"/>
    <col min="10259" max="10259" width="12.1328125" customWidth="1"/>
    <col min="10260" max="10260" width="13.1328125" customWidth="1"/>
    <col min="10261" max="10263" width="12" customWidth="1"/>
    <col min="10275" max="10278" width="10.3984375" customWidth="1"/>
    <col min="10515" max="10515" width="12.1328125" customWidth="1"/>
    <col min="10516" max="10516" width="13.1328125" customWidth="1"/>
    <col min="10517" max="10519" width="12" customWidth="1"/>
    <col min="10531" max="10534" width="10.3984375" customWidth="1"/>
    <col min="10771" max="10771" width="12.1328125" customWidth="1"/>
    <col min="10772" max="10772" width="13.1328125" customWidth="1"/>
    <col min="10773" max="10775" width="12" customWidth="1"/>
    <col min="10787" max="10790" width="10.3984375" customWidth="1"/>
    <col min="11027" max="11027" width="12.1328125" customWidth="1"/>
    <col min="11028" max="11028" width="13.1328125" customWidth="1"/>
    <col min="11029" max="11031" width="12" customWidth="1"/>
    <col min="11043" max="11046" width="10.3984375" customWidth="1"/>
    <col min="11283" max="11283" width="12.1328125" customWidth="1"/>
    <col min="11284" max="11284" width="13.1328125" customWidth="1"/>
    <col min="11285" max="11287" width="12" customWidth="1"/>
    <col min="11299" max="11302" width="10.3984375" customWidth="1"/>
    <col min="11539" max="11539" width="12.1328125" customWidth="1"/>
    <col min="11540" max="11540" width="13.1328125" customWidth="1"/>
    <col min="11541" max="11543" width="12" customWidth="1"/>
    <col min="11555" max="11558" width="10.3984375" customWidth="1"/>
    <col min="11795" max="11795" width="12.1328125" customWidth="1"/>
    <col min="11796" max="11796" width="13.1328125" customWidth="1"/>
    <col min="11797" max="11799" width="12" customWidth="1"/>
    <col min="11811" max="11814" width="10.3984375" customWidth="1"/>
    <col min="12051" max="12051" width="12.1328125" customWidth="1"/>
    <col min="12052" max="12052" width="13.1328125" customWidth="1"/>
    <col min="12053" max="12055" width="12" customWidth="1"/>
    <col min="12067" max="12070" width="10.3984375" customWidth="1"/>
    <col min="12307" max="12307" width="12.1328125" customWidth="1"/>
    <col min="12308" max="12308" width="13.1328125" customWidth="1"/>
    <col min="12309" max="12311" width="12" customWidth="1"/>
    <col min="12323" max="12326" width="10.3984375" customWidth="1"/>
    <col min="12563" max="12563" width="12.1328125" customWidth="1"/>
    <col min="12564" max="12564" width="13.1328125" customWidth="1"/>
    <col min="12565" max="12567" width="12" customWidth="1"/>
    <col min="12579" max="12582" width="10.3984375" customWidth="1"/>
    <col min="12819" max="12819" width="12.1328125" customWidth="1"/>
    <col min="12820" max="12820" width="13.1328125" customWidth="1"/>
    <col min="12821" max="12823" width="12" customWidth="1"/>
    <col min="12835" max="12838" width="10.3984375" customWidth="1"/>
    <col min="13075" max="13075" width="12.1328125" customWidth="1"/>
    <col min="13076" max="13076" width="13.1328125" customWidth="1"/>
    <col min="13077" max="13079" width="12" customWidth="1"/>
    <col min="13091" max="13094" width="10.3984375" customWidth="1"/>
    <col min="13331" max="13331" width="12.1328125" customWidth="1"/>
    <col min="13332" max="13332" width="13.1328125" customWidth="1"/>
    <col min="13333" max="13335" width="12" customWidth="1"/>
    <col min="13347" max="13350" width="10.3984375" customWidth="1"/>
    <col min="13587" max="13587" width="12.1328125" customWidth="1"/>
    <col min="13588" max="13588" width="13.1328125" customWidth="1"/>
    <col min="13589" max="13591" width="12" customWidth="1"/>
    <col min="13603" max="13606" width="10.3984375" customWidth="1"/>
    <col min="13843" max="13843" width="12.1328125" customWidth="1"/>
    <col min="13844" max="13844" width="13.1328125" customWidth="1"/>
    <col min="13845" max="13847" width="12" customWidth="1"/>
    <col min="13859" max="13862" width="10.3984375" customWidth="1"/>
    <col min="14099" max="14099" width="12.1328125" customWidth="1"/>
    <col min="14100" max="14100" width="13.1328125" customWidth="1"/>
    <col min="14101" max="14103" width="12" customWidth="1"/>
    <col min="14115" max="14118" width="10.3984375" customWidth="1"/>
    <col min="14355" max="14355" width="12.1328125" customWidth="1"/>
    <col min="14356" max="14356" width="13.1328125" customWidth="1"/>
    <col min="14357" max="14359" width="12" customWidth="1"/>
    <col min="14371" max="14374" width="10.3984375" customWidth="1"/>
    <col min="14611" max="14611" width="12.1328125" customWidth="1"/>
    <col min="14612" max="14612" width="13.1328125" customWidth="1"/>
    <col min="14613" max="14615" width="12" customWidth="1"/>
    <col min="14627" max="14630" width="10.3984375" customWidth="1"/>
    <col min="14867" max="14867" width="12.1328125" customWidth="1"/>
    <col min="14868" max="14868" width="13.1328125" customWidth="1"/>
    <col min="14869" max="14871" width="12" customWidth="1"/>
    <col min="14883" max="14886" width="10.3984375" customWidth="1"/>
    <col min="15123" max="15123" width="12.1328125" customWidth="1"/>
    <col min="15124" max="15124" width="13.1328125" customWidth="1"/>
    <col min="15125" max="15127" width="12" customWidth="1"/>
    <col min="15139" max="15142" width="10.3984375" customWidth="1"/>
    <col min="15379" max="15379" width="12.1328125" customWidth="1"/>
    <col min="15380" max="15380" width="13.1328125" customWidth="1"/>
    <col min="15381" max="15383" width="12" customWidth="1"/>
    <col min="15395" max="15398" width="10.3984375" customWidth="1"/>
    <col min="15635" max="15635" width="12.1328125" customWidth="1"/>
    <col min="15636" max="15636" width="13.1328125" customWidth="1"/>
    <col min="15637" max="15639" width="12" customWidth="1"/>
    <col min="15651" max="15654" width="10.3984375" customWidth="1"/>
    <col min="15891" max="15891" width="12.1328125" customWidth="1"/>
    <col min="15892" max="15892" width="13.1328125" customWidth="1"/>
    <col min="15893" max="15895" width="12" customWidth="1"/>
    <col min="15907" max="15910" width="10.3984375" customWidth="1"/>
    <col min="16147" max="16147" width="12.1328125" customWidth="1"/>
    <col min="16148" max="16148" width="13.1328125" customWidth="1"/>
    <col min="16149" max="16151" width="12" customWidth="1"/>
    <col min="16163" max="16166" width="10.3984375" customWidth="1"/>
  </cols>
  <sheetData>
    <row r="1" spans="1:46" s="57" customFormat="1" x14ac:dyDescent="0.45">
      <c r="A1" s="57" t="s">
        <v>601</v>
      </c>
    </row>
    <row r="2" spans="1:46" s="114" customFormat="1" ht="15.75" customHeight="1" x14ac:dyDescent="0.45">
      <c r="B2" s="111"/>
      <c r="C2" s="111"/>
      <c r="D2" s="111"/>
      <c r="E2" s="112"/>
      <c r="F2" s="111"/>
      <c r="G2" s="111"/>
      <c r="H2" s="113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3"/>
      <c r="AM2" s="111"/>
      <c r="AN2" s="111"/>
      <c r="AO2" s="111"/>
      <c r="AP2" s="111"/>
      <c r="AQ2" s="112"/>
      <c r="AR2" s="112"/>
      <c r="AS2" s="112"/>
      <c r="AT2" s="112"/>
    </row>
    <row r="3" spans="1:46" s="86" customFormat="1" ht="15.75" customHeight="1" x14ac:dyDescent="0.45">
      <c r="A3" s="259" t="s">
        <v>148</v>
      </c>
      <c r="B3" s="260" t="s">
        <v>266</v>
      </c>
      <c r="C3" s="260" t="s">
        <v>149</v>
      </c>
      <c r="D3" s="260" t="s">
        <v>71</v>
      </c>
      <c r="E3" s="261" t="s">
        <v>151</v>
      </c>
      <c r="F3" s="260" t="s">
        <v>70</v>
      </c>
      <c r="G3" s="260" t="s">
        <v>150</v>
      </c>
      <c r="H3" s="262" t="s">
        <v>152</v>
      </c>
      <c r="I3" s="260" t="s">
        <v>153</v>
      </c>
      <c r="J3" s="260" t="s">
        <v>154</v>
      </c>
      <c r="K3" s="260" t="s">
        <v>155</v>
      </c>
      <c r="L3" s="260" t="s">
        <v>156</v>
      </c>
      <c r="M3" s="260" t="s">
        <v>157</v>
      </c>
      <c r="N3" s="260" t="s">
        <v>158</v>
      </c>
      <c r="O3" s="260" t="s">
        <v>159</v>
      </c>
      <c r="P3" s="260" t="s">
        <v>160</v>
      </c>
      <c r="Q3" s="260" t="s">
        <v>161</v>
      </c>
      <c r="R3" s="260" t="s">
        <v>162</v>
      </c>
      <c r="S3" s="260" t="s">
        <v>163</v>
      </c>
      <c r="T3" s="260" t="s">
        <v>164</v>
      </c>
      <c r="U3" s="260" t="s">
        <v>165</v>
      </c>
      <c r="V3" s="260" t="s">
        <v>267</v>
      </c>
      <c r="W3" s="260" t="s">
        <v>166</v>
      </c>
      <c r="X3" s="260" t="s">
        <v>268</v>
      </c>
      <c r="Y3" s="260" t="s">
        <v>269</v>
      </c>
      <c r="Z3" s="260" t="s">
        <v>270</v>
      </c>
      <c r="AA3" s="260" t="s">
        <v>277</v>
      </c>
      <c r="AB3" s="261" t="s">
        <v>167</v>
      </c>
      <c r="AC3" s="261" t="s">
        <v>168</v>
      </c>
      <c r="AD3" s="261" t="s">
        <v>169</v>
      </c>
      <c r="AE3" s="261" t="s">
        <v>170</v>
      </c>
      <c r="AF3" s="261" t="s">
        <v>171</v>
      </c>
      <c r="AG3" s="261" t="s">
        <v>172</v>
      </c>
      <c r="AH3" s="261" t="s">
        <v>173</v>
      </c>
      <c r="AI3" s="261" t="s">
        <v>174</v>
      </c>
      <c r="AJ3" s="261" t="s">
        <v>265</v>
      </c>
      <c r="AK3" s="261" t="s">
        <v>175</v>
      </c>
      <c r="AL3" s="261" t="s">
        <v>176</v>
      </c>
      <c r="AM3" s="262" t="s">
        <v>271</v>
      </c>
      <c r="AN3" s="260" t="s">
        <v>272</v>
      </c>
      <c r="AO3" s="260" t="s">
        <v>179</v>
      </c>
      <c r="AP3" s="260" t="s">
        <v>180</v>
      </c>
      <c r="AQ3" s="49" t="s">
        <v>177</v>
      </c>
      <c r="AR3" s="49" t="s">
        <v>178</v>
      </c>
      <c r="AS3" s="263" t="s">
        <v>181</v>
      </c>
      <c r="AT3" s="263" t="s">
        <v>182</v>
      </c>
    </row>
    <row r="5" spans="1:46" s="29" customFormat="1" x14ac:dyDescent="0.45">
      <c r="A5" s="29">
        <v>0.01</v>
      </c>
      <c r="B5" s="29">
        <v>660</v>
      </c>
      <c r="C5" s="28">
        <v>-1.47</v>
      </c>
      <c r="D5" s="29">
        <v>1.5</v>
      </c>
      <c r="E5" s="28">
        <v>6.75</v>
      </c>
      <c r="F5" s="29">
        <v>2.4</v>
      </c>
      <c r="G5" s="29">
        <v>4.5</v>
      </c>
      <c r="H5" s="27">
        <v>0.58699999999999997</v>
      </c>
      <c r="I5" s="27">
        <v>-0.79</v>
      </c>
      <c r="J5" s="29">
        <v>0.27500000000000002</v>
      </c>
      <c r="K5" s="29">
        <v>-0.1</v>
      </c>
      <c r="L5" s="29">
        <v>-0.41</v>
      </c>
      <c r="M5" s="27">
        <v>2.1541000000000001</v>
      </c>
      <c r="N5" s="29">
        <v>0</v>
      </c>
      <c r="O5" s="29">
        <v>-1.4999999999999999E-2</v>
      </c>
      <c r="P5" s="27">
        <v>1.7350000000000001</v>
      </c>
      <c r="Q5" s="29">
        <v>0</v>
      </c>
      <c r="R5" s="29">
        <v>-0.1</v>
      </c>
      <c r="S5" s="247">
        <v>0.6</v>
      </c>
      <c r="T5" s="28">
        <v>-0.3</v>
      </c>
      <c r="U5" s="247">
        <v>1.1000000000000001</v>
      </c>
      <c r="V5" s="29">
        <v>0</v>
      </c>
      <c r="W5" s="6">
        <v>-7.1999999999999998E-3</v>
      </c>
      <c r="X5" s="29">
        <v>0.1</v>
      </c>
      <c r="Y5" s="28">
        <v>0.05</v>
      </c>
      <c r="Z5" s="29">
        <v>0</v>
      </c>
      <c r="AA5" s="28">
        <v>-0.05</v>
      </c>
      <c r="AB5" s="6">
        <v>-1.5E-3</v>
      </c>
      <c r="AC5" s="6">
        <v>2.5000000000000001E-3</v>
      </c>
      <c r="AD5" s="6">
        <v>-3.3999999999999998E-3</v>
      </c>
      <c r="AE5" s="6">
        <v>-0.15029999999999999</v>
      </c>
      <c r="AF5" s="29">
        <v>0.26500000000000001</v>
      </c>
      <c r="AG5" s="27">
        <v>0.33700000000000002</v>
      </c>
      <c r="AH5" s="27">
        <v>0.188</v>
      </c>
      <c r="AI5" s="29">
        <v>0</v>
      </c>
      <c r="AJ5" s="29">
        <v>8.7999999999999995E-2</v>
      </c>
      <c r="AK5" s="27">
        <v>-0.19600000000000001</v>
      </c>
      <c r="AL5" s="27">
        <v>4.3999999999999997E-2</v>
      </c>
      <c r="AM5" s="27">
        <v>0.754</v>
      </c>
      <c r="AN5" s="27">
        <v>0.52</v>
      </c>
      <c r="AO5" s="29">
        <v>0.47</v>
      </c>
      <c r="AP5" s="29">
        <v>0.36</v>
      </c>
      <c r="AQ5" s="29">
        <v>0.74099999999999999</v>
      </c>
      <c r="AR5" s="29">
        <v>0.501</v>
      </c>
      <c r="AS5" s="29">
        <v>0.54</v>
      </c>
      <c r="AT5" s="29">
        <v>0.63</v>
      </c>
    </row>
    <row r="6" spans="1:46" s="29" customFormat="1" x14ac:dyDescent="0.45">
      <c r="A6" s="29">
        <v>0.02</v>
      </c>
      <c r="B6" s="29">
        <v>680</v>
      </c>
      <c r="C6" s="28">
        <v>-1.4590000000000001</v>
      </c>
      <c r="D6" s="29">
        <v>1.5</v>
      </c>
      <c r="E6" s="28">
        <v>6.75</v>
      </c>
      <c r="F6" s="29">
        <v>2.4</v>
      </c>
      <c r="G6" s="29">
        <v>4.5</v>
      </c>
      <c r="H6" s="27">
        <v>0.59799999999999998</v>
      </c>
      <c r="I6" s="27">
        <v>-0.79</v>
      </c>
      <c r="J6" s="29">
        <v>0.27500000000000002</v>
      </c>
      <c r="K6" s="29">
        <v>-0.1</v>
      </c>
      <c r="L6" s="29">
        <v>-0.41</v>
      </c>
      <c r="M6" s="27">
        <v>2.1461000000000001</v>
      </c>
      <c r="N6" s="29">
        <v>0</v>
      </c>
      <c r="O6" s="29">
        <v>-1.4999999999999999E-2</v>
      </c>
      <c r="P6" s="27">
        <v>1.718</v>
      </c>
      <c r="Q6" s="29">
        <v>0</v>
      </c>
      <c r="R6" s="29">
        <v>-0.1</v>
      </c>
      <c r="S6" s="247">
        <v>0.6</v>
      </c>
      <c r="T6" s="28">
        <v>-0.3</v>
      </c>
      <c r="U6" s="247">
        <v>1.1000000000000001</v>
      </c>
      <c r="V6" s="29">
        <v>0</v>
      </c>
      <c r="W6" s="6">
        <v>-7.3000000000000001E-3</v>
      </c>
      <c r="X6" s="29">
        <v>0.1</v>
      </c>
      <c r="Y6" s="28">
        <v>0.05</v>
      </c>
      <c r="Z6" s="29">
        <v>0</v>
      </c>
      <c r="AA6" s="28">
        <v>-0.05</v>
      </c>
      <c r="AB6" s="6">
        <v>-1.5E-3</v>
      </c>
      <c r="AC6" s="6">
        <v>2.3999999999999998E-3</v>
      </c>
      <c r="AD6" s="6">
        <v>-3.3E-3</v>
      </c>
      <c r="AE6" s="6">
        <v>-0.1479</v>
      </c>
      <c r="AF6" s="29">
        <v>0.255</v>
      </c>
      <c r="AG6" s="27">
        <v>0.32800000000000001</v>
      </c>
      <c r="AH6" s="27">
        <v>0.184</v>
      </c>
      <c r="AI6" s="29">
        <v>0</v>
      </c>
      <c r="AJ6" s="29">
        <v>8.7999999999999995E-2</v>
      </c>
      <c r="AK6" s="27">
        <v>-0.19400000000000001</v>
      </c>
      <c r="AL6" s="27">
        <v>6.0999999999999999E-2</v>
      </c>
      <c r="AM6" s="27">
        <v>0.76</v>
      </c>
      <c r="AN6" s="27">
        <v>0.52</v>
      </c>
      <c r="AO6" s="29">
        <v>0.47</v>
      </c>
      <c r="AP6" s="29">
        <v>0.36</v>
      </c>
      <c r="AQ6" s="29">
        <v>0.747</v>
      </c>
      <c r="AR6" s="29">
        <v>0.501</v>
      </c>
      <c r="AS6" s="29">
        <v>0.54</v>
      </c>
      <c r="AT6" s="29">
        <v>0.63</v>
      </c>
    </row>
    <row r="7" spans="1:46" s="29" customFormat="1" x14ac:dyDescent="0.45">
      <c r="A7" s="29">
        <v>0.03</v>
      </c>
      <c r="B7" s="29">
        <v>770</v>
      </c>
      <c r="C7" s="28">
        <v>-1.39</v>
      </c>
      <c r="D7" s="29">
        <v>1.5</v>
      </c>
      <c r="E7" s="28">
        <v>6.75</v>
      </c>
      <c r="F7" s="29">
        <v>2.4</v>
      </c>
      <c r="G7" s="29">
        <v>4.5</v>
      </c>
      <c r="H7" s="27">
        <v>0.60199999999999998</v>
      </c>
      <c r="I7" s="27">
        <v>-0.79</v>
      </c>
      <c r="J7" s="29">
        <v>0.27500000000000002</v>
      </c>
      <c r="K7" s="29">
        <v>-0.1</v>
      </c>
      <c r="L7" s="29">
        <v>-0.41</v>
      </c>
      <c r="M7" s="27">
        <v>2.1566000000000001</v>
      </c>
      <c r="N7" s="29">
        <v>0</v>
      </c>
      <c r="O7" s="29">
        <v>-1.4999999999999999E-2</v>
      </c>
      <c r="P7" s="27">
        <v>1.615</v>
      </c>
      <c r="Q7" s="29">
        <v>0</v>
      </c>
      <c r="R7" s="29">
        <v>-0.1</v>
      </c>
      <c r="S7" s="247">
        <v>0.6</v>
      </c>
      <c r="T7" s="28">
        <v>-0.3</v>
      </c>
      <c r="U7" s="247">
        <v>1.1000000000000001</v>
      </c>
      <c r="V7" s="29">
        <v>0</v>
      </c>
      <c r="W7" s="6">
        <v>-7.4999999999999997E-3</v>
      </c>
      <c r="X7" s="29">
        <v>0.1</v>
      </c>
      <c r="Y7" s="28">
        <v>0.05</v>
      </c>
      <c r="Z7" s="29">
        <v>0</v>
      </c>
      <c r="AA7" s="28">
        <v>-0.05</v>
      </c>
      <c r="AB7" s="6">
        <v>-1.6000000000000001E-3</v>
      </c>
      <c r="AC7" s="6">
        <v>2.3E-3</v>
      </c>
      <c r="AD7" s="6">
        <v>-3.3999999999999998E-3</v>
      </c>
      <c r="AE7" s="6">
        <v>-0.1447</v>
      </c>
      <c r="AF7" s="29">
        <v>0.249</v>
      </c>
      <c r="AG7" s="27">
        <v>0.32</v>
      </c>
      <c r="AH7" s="27">
        <v>0.18</v>
      </c>
      <c r="AI7" s="29">
        <v>0</v>
      </c>
      <c r="AJ7" s="29">
        <v>9.2999999999999999E-2</v>
      </c>
      <c r="AK7" s="27">
        <v>-0.17499999999999999</v>
      </c>
      <c r="AL7" s="27">
        <v>0.16200000000000001</v>
      </c>
      <c r="AM7" s="27">
        <v>0.78100000000000003</v>
      </c>
      <c r="AN7" s="27">
        <v>0.52</v>
      </c>
      <c r="AO7" s="29">
        <v>0.47</v>
      </c>
      <c r="AP7" s="29">
        <v>0.36</v>
      </c>
      <c r="AQ7" s="29">
        <v>0.76900000000000002</v>
      </c>
      <c r="AR7" s="29">
        <v>0.501</v>
      </c>
      <c r="AS7" s="29">
        <v>0.55000000000000004</v>
      </c>
      <c r="AT7" s="29">
        <v>0.63</v>
      </c>
    </row>
    <row r="8" spans="1:46" s="29" customFormat="1" x14ac:dyDescent="0.45">
      <c r="A8" s="29">
        <v>0.05</v>
      </c>
      <c r="B8" s="29">
        <v>915</v>
      </c>
      <c r="C8" s="28">
        <v>-1.2190000000000001</v>
      </c>
      <c r="D8" s="29">
        <v>1.5</v>
      </c>
      <c r="E8" s="28">
        <v>6.75</v>
      </c>
      <c r="F8" s="29">
        <v>2.4</v>
      </c>
      <c r="G8" s="29">
        <v>4.5</v>
      </c>
      <c r="H8" s="27">
        <v>0.70699999999999996</v>
      </c>
      <c r="I8" s="27">
        <v>-0.79</v>
      </c>
      <c r="J8" s="29">
        <v>0.27500000000000002</v>
      </c>
      <c r="K8" s="29">
        <v>-0.1</v>
      </c>
      <c r="L8" s="29">
        <v>-0.41</v>
      </c>
      <c r="M8" s="27">
        <v>2.0844999999999998</v>
      </c>
      <c r="N8" s="29">
        <v>0</v>
      </c>
      <c r="O8" s="29">
        <v>-1.4999999999999999E-2</v>
      </c>
      <c r="P8" s="27">
        <v>1.3580000000000001</v>
      </c>
      <c r="Q8" s="29">
        <v>0</v>
      </c>
      <c r="R8" s="29">
        <v>-0.1</v>
      </c>
      <c r="S8" s="247">
        <v>0.6</v>
      </c>
      <c r="T8" s="28">
        <v>-0.3</v>
      </c>
      <c r="U8" s="247">
        <v>1.1000000000000001</v>
      </c>
      <c r="V8" s="29">
        <v>0</v>
      </c>
      <c r="W8" s="6">
        <v>-8.0000000000000002E-3</v>
      </c>
      <c r="X8" s="29">
        <v>0.1</v>
      </c>
      <c r="Y8" s="28">
        <v>0.05</v>
      </c>
      <c r="Z8" s="29">
        <v>0</v>
      </c>
      <c r="AA8" s="28">
        <v>-0.05</v>
      </c>
      <c r="AB8" s="6">
        <v>-2E-3</v>
      </c>
      <c r="AC8" s="6">
        <v>2.7000000000000001E-3</v>
      </c>
      <c r="AD8" s="6">
        <v>-3.3E-3</v>
      </c>
      <c r="AE8" s="6">
        <v>-0.1326</v>
      </c>
      <c r="AF8" s="29">
        <v>0.20200000000000001</v>
      </c>
      <c r="AG8" s="27">
        <v>0.28899999999999998</v>
      </c>
      <c r="AH8" s="27">
        <v>0.16700000000000001</v>
      </c>
      <c r="AI8" s="29">
        <v>0</v>
      </c>
      <c r="AJ8" s="29">
        <v>0.13300000000000001</v>
      </c>
      <c r="AK8" s="27">
        <v>-0.09</v>
      </c>
      <c r="AL8" s="27">
        <v>0.45100000000000001</v>
      </c>
      <c r="AM8" s="27">
        <v>0.81</v>
      </c>
      <c r="AN8" s="27">
        <v>0.53</v>
      </c>
      <c r="AO8" s="29">
        <v>0.47</v>
      </c>
      <c r="AP8" s="29">
        <v>0.36</v>
      </c>
      <c r="AQ8" s="29">
        <v>0.79800000000000004</v>
      </c>
      <c r="AR8" s="29">
        <v>0.51200000000000001</v>
      </c>
      <c r="AS8" s="29">
        <v>0.56000000000000005</v>
      </c>
      <c r="AT8" s="29">
        <v>0.65</v>
      </c>
    </row>
    <row r="9" spans="1:46" s="29" customFormat="1" x14ac:dyDescent="0.45">
      <c r="A9" s="29">
        <v>7.4999999999999997E-2</v>
      </c>
      <c r="B9" s="29">
        <v>960</v>
      </c>
      <c r="C9" s="28">
        <v>-1.1519999999999999</v>
      </c>
      <c r="D9" s="29">
        <v>1.5</v>
      </c>
      <c r="E9" s="28">
        <v>6.75</v>
      </c>
      <c r="F9" s="29">
        <v>2.4</v>
      </c>
      <c r="G9" s="29">
        <v>4.5</v>
      </c>
      <c r="H9" s="27">
        <v>0.97299999999999998</v>
      </c>
      <c r="I9" s="27">
        <v>-0.79</v>
      </c>
      <c r="J9" s="29">
        <v>0.27500000000000002</v>
      </c>
      <c r="K9" s="29">
        <v>-0.1</v>
      </c>
      <c r="L9" s="29">
        <v>-0.41</v>
      </c>
      <c r="M9" s="27">
        <v>2.0285000000000002</v>
      </c>
      <c r="N9" s="29">
        <v>0</v>
      </c>
      <c r="O9" s="29">
        <v>-1.4999999999999999E-2</v>
      </c>
      <c r="P9" s="27">
        <v>1.258</v>
      </c>
      <c r="Q9" s="29">
        <v>0</v>
      </c>
      <c r="R9" s="29">
        <v>-0.1</v>
      </c>
      <c r="S9" s="247">
        <v>0.6</v>
      </c>
      <c r="T9" s="28">
        <v>-0.3</v>
      </c>
      <c r="U9" s="247">
        <v>1.1000000000000001</v>
      </c>
      <c r="V9" s="29">
        <v>0</v>
      </c>
      <c r="W9" s="6">
        <v>-8.8999999999999999E-3</v>
      </c>
      <c r="X9" s="29">
        <v>0.1</v>
      </c>
      <c r="Y9" s="28">
        <v>0.05</v>
      </c>
      <c r="Z9" s="29">
        <v>0</v>
      </c>
      <c r="AA9" s="28">
        <v>-0.05</v>
      </c>
      <c r="AB9" s="6">
        <v>-2.7000000000000001E-3</v>
      </c>
      <c r="AC9" s="6">
        <v>3.2000000000000002E-3</v>
      </c>
      <c r="AD9" s="6">
        <v>-2.8999999999999998E-3</v>
      </c>
      <c r="AE9" s="6">
        <v>-0.1353</v>
      </c>
      <c r="AF9" s="29">
        <v>0.126</v>
      </c>
      <c r="AG9" s="27">
        <v>0.27500000000000002</v>
      </c>
      <c r="AH9" s="27">
        <v>0.17299999999999999</v>
      </c>
      <c r="AI9" s="29">
        <v>0</v>
      </c>
      <c r="AJ9" s="29">
        <v>0.186</v>
      </c>
      <c r="AK9" s="27">
        <v>0.09</v>
      </c>
      <c r="AL9" s="27">
        <v>0.50600000000000001</v>
      </c>
      <c r="AM9" s="27">
        <v>0.81</v>
      </c>
      <c r="AN9" s="27">
        <v>0.54</v>
      </c>
      <c r="AO9" s="29">
        <v>0.47</v>
      </c>
      <c r="AP9" s="29">
        <v>0.36</v>
      </c>
      <c r="AQ9" s="29">
        <v>0.79800000000000004</v>
      </c>
      <c r="AR9" s="29">
        <v>0.52200000000000002</v>
      </c>
      <c r="AS9" s="29">
        <v>0.56999999999999995</v>
      </c>
      <c r="AT9" s="29">
        <v>0.69</v>
      </c>
    </row>
    <row r="10" spans="1:46" s="29" customFormat="1" x14ac:dyDescent="0.45">
      <c r="A10" s="29">
        <v>0.1</v>
      </c>
      <c r="B10" s="29">
        <v>910</v>
      </c>
      <c r="C10" s="28">
        <v>-1.23</v>
      </c>
      <c r="D10" s="29">
        <v>1.5</v>
      </c>
      <c r="E10" s="28">
        <v>6.75</v>
      </c>
      <c r="F10" s="29">
        <v>2.4</v>
      </c>
      <c r="G10" s="29">
        <v>4.5</v>
      </c>
      <c r="H10" s="27">
        <v>1.169</v>
      </c>
      <c r="I10" s="27">
        <v>-0.79</v>
      </c>
      <c r="J10" s="29">
        <v>0.27500000000000002</v>
      </c>
      <c r="K10" s="29">
        <v>-0.1</v>
      </c>
      <c r="L10" s="29">
        <v>-0.41</v>
      </c>
      <c r="M10" s="27">
        <v>2.0407999999999999</v>
      </c>
      <c r="N10" s="29">
        <v>0</v>
      </c>
      <c r="O10" s="29">
        <v>-1.4999999999999999E-2</v>
      </c>
      <c r="P10" s="27">
        <v>1.31</v>
      </c>
      <c r="Q10" s="29">
        <v>0</v>
      </c>
      <c r="R10" s="29">
        <v>-0.1</v>
      </c>
      <c r="S10" s="247">
        <v>0.6</v>
      </c>
      <c r="T10" s="28">
        <v>-0.3</v>
      </c>
      <c r="U10" s="247">
        <v>1.1000000000000001</v>
      </c>
      <c r="V10" s="29">
        <v>0</v>
      </c>
      <c r="W10" s="6">
        <v>-9.4999999999999998E-3</v>
      </c>
      <c r="X10" s="29">
        <v>0.1</v>
      </c>
      <c r="Y10" s="28">
        <v>0.05</v>
      </c>
      <c r="Z10" s="29">
        <v>0</v>
      </c>
      <c r="AA10" s="28">
        <v>-0.05</v>
      </c>
      <c r="AB10" s="6">
        <v>-3.3E-3</v>
      </c>
      <c r="AC10" s="6">
        <v>3.5999999999999999E-3</v>
      </c>
      <c r="AD10" s="6">
        <v>-2.5000000000000001E-3</v>
      </c>
      <c r="AE10" s="6">
        <v>-0.1128</v>
      </c>
      <c r="AF10" s="29">
        <v>2.1999999999999999E-2</v>
      </c>
      <c r="AG10" s="27">
        <v>0.25600000000000001</v>
      </c>
      <c r="AH10" s="27">
        <v>0.189</v>
      </c>
      <c r="AI10" s="29">
        <v>0</v>
      </c>
      <c r="AJ10" s="29">
        <v>0.16</v>
      </c>
      <c r="AK10" s="27">
        <v>6.0000000000000001E-3</v>
      </c>
      <c r="AL10" s="27">
        <v>0.33500000000000002</v>
      </c>
      <c r="AM10" s="27">
        <v>0.81</v>
      </c>
      <c r="AN10" s="27">
        <v>0.55000000000000004</v>
      </c>
      <c r="AO10" s="29">
        <v>0.47</v>
      </c>
      <c r="AP10" s="29">
        <v>0.36</v>
      </c>
      <c r="AQ10" s="29">
        <v>0.79500000000000004</v>
      </c>
      <c r="AR10" s="29">
        <v>0.52700000000000002</v>
      </c>
      <c r="AS10" s="29">
        <v>0.56999999999999995</v>
      </c>
      <c r="AT10" s="29">
        <v>0.7</v>
      </c>
    </row>
    <row r="11" spans="1:46" s="29" customFormat="1" x14ac:dyDescent="0.45">
      <c r="A11" s="29">
        <v>0.15</v>
      </c>
      <c r="B11" s="29">
        <v>740</v>
      </c>
      <c r="C11" s="28">
        <v>-1.587</v>
      </c>
      <c r="D11" s="29">
        <v>1.5</v>
      </c>
      <c r="E11" s="28">
        <v>6.75</v>
      </c>
      <c r="F11" s="29">
        <v>2.4</v>
      </c>
      <c r="G11" s="29">
        <v>4.5</v>
      </c>
      <c r="H11" s="27">
        <v>1.4419999999999999</v>
      </c>
      <c r="I11" s="27">
        <v>-0.79</v>
      </c>
      <c r="J11" s="29">
        <v>0.27500000000000002</v>
      </c>
      <c r="K11" s="29">
        <v>-0.1</v>
      </c>
      <c r="L11" s="29">
        <v>-0.41</v>
      </c>
      <c r="M11" s="27">
        <v>2.1208</v>
      </c>
      <c r="N11" s="29">
        <v>0</v>
      </c>
      <c r="O11" s="29">
        <v>-2.1999999999999999E-2</v>
      </c>
      <c r="P11" s="27">
        <v>1.66</v>
      </c>
      <c r="Q11" s="29">
        <v>0</v>
      </c>
      <c r="R11" s="29">
        <v>-0.1</v>
      </c>
      <c r="S11" s="247">
        <v>0.6</v>
      </c>
      <c r="T11" s="28">
        <v>-0.3</v>
      </c>
      <c r="U11" s="247">
        <v>1.1000000000000001</v>
      </c>
      <c r="V11" s="29">
        <v>0</v>
      </c>
      <c r="W11" s="6">
        <v>-9.4999999999999998E-3</v>
      </c>
      <c r="X11" s="29">
        <v>0.1</v>
      </c>
      <c r="Y11" s="28">
        <v>0.05</v>
      </c>
      <c r="Z11" s="29">
        <v>0</v>
      </c>
      <c r="AA11" s="28">
        <v>-0.05</v>
      </c>
      <c r="AB11" s="6">
        <v>-3.5000000000000001E-3</v>
      </c>
      <c r="AC11" s="6">
        <v>3.3E-3</v>
      </c>
      <c r="AD11" s="6">
        <v>-2.5000000000000001E-3</v>
      </c>
      <c r="AE11" s="6">
        <v>3.8300000000000001E-2</v>
      </c>
      <c r="AF11" s="29">
        <v>-0.13600000000000001</v>
      </c>
      <c r="AG11" s="27">
        <v>0.16200000000000001</v>
      </c>
      <c r="AH11" s="27">
        <v>0.108</v>
      </c>
      <c r="AI11" s="29">
        <v>0</v>
      </c>
      <c r="AJ11" s="29">
        <v>6.8000000000000005E-2</v>
      </c>
      <c r="AK11" s="27">
        <v>-0.156</v>
      </c>
      <c r="AL11" s="27">
        <v>-8.4000000000000005E-2</v>
      </c>
      <c r="AM11" s="27">
        <v>0.80100000000000005</v>
      </c>
      <c r="AN11" s="27">
        <v>0.56000000000000005</v>
      </c>
      <c r="AO11" s="29">
        <v>0.47</v>
      </c>
      <c r="AP11" s="29">
        <v>0.36</v>
      </c>
      <c r="AQ11" s="29">
        <v>0.77300000000000002</v>
      </c>
      <c r="AR11" s="29">
        <v>0.51900000000000002</v>
      </c>
      <c r="AS11" s="29">
        <v>0.57999999999999996</v>
      </c>
      <c r="AT11" s="29">
        <v>0.7</v>
      </c>
    </row>
    <row r="12" spans="1:46" s="29" customFormat="1" x14ac:dyDescent="0.45">
      <c r="A12" s="29">
        <v>0.2</v>
      </c>
      <c r="B12" s="29">
        <v>590</v>
      </c>
      <c r="C12" s="28">
        <v>-2.012</v>
      </c>
      <c r="D12" s="29">
        <v>1.5</v>
      </c>
      <c r="E12" s="28">
        <v>6.75</v>
      </c>
      <c r="F12" s="29">
        <v>2.4</v>
      </c>
      <c r="G12" s="29">
        <v>4.5</v>
      </c>
      <c r="H12" s="27">
        <v>1.637</v>
      </c>
      <c r="I12" s="27">
        <v>-0.79</v>
      </c>
      <c r="J12" s="29">
        <v>0.27500000000000002</v>
      </c>
      <c r="K12" s="29">
        <v>-0.1</v>
      </c>
      <c r="L12" s="29">
        <v>-0.41</v>
      </c>
      <c r="M12" s="27">
        <v>2.2241</v>
      </c>
      <c r="N12" s="29">
        <v>0</v>
      </c>
      <c r="O12" s="29">
        <v>-0.03</v>
      </c>
      <c r="P12" s="27">
        <v>2.2200000000000002</v>
      </c>
      <c r="Q12" s="29">
        <v>0</v>
      </c>
      <c r="R12" s="29">
        <v>-0.1</v>
      </c>
      <c r="S12" s="247">
        <v>0.6</v>
      </c>
      <c r="T12" s="28">
        <v>-0.3</v>
      </c>
      <c r="U12" s="247">
        <v>1.1000000000000001</v>
      </c>
      <c r="V12" s="29">
        <v>0</v>
      </c>
      <c r="W12" s="6">
        <v>-8.6E-3</v>
      </c>
      <c r="X12" s="29">
        <v>0.1</v>
      </c>
      <c r="Y12" s="28">
        <v>0.05</v>
      </c>
      <c r="Z12" s="29">
        <v>0</v>
      </c>
      <c r="AA12" s="28">
        <v>-0.03</v>
      </c>
      <c r="AB12" s="6">
        <v>-3.3E-3</v>
      </c>
      <c r="AC12" s="6">
        <v>2.7000000000000001E-3</v>
      </c>
      <c r="AD12" s="6">
        <v>-3.0999999999999999E-3</v>
      </c>
      <c r="AE12" s="6">
        <v>7.7499999999999999E-2</v>
      </c>
      <c r="AF12" s="29">
        <v>-7.8E-2</v>
      </c>
      <c r="AG12" s="27">
        <v>0.224</v>
      </c>
      <c r="AH12" s="27">
        <v>0.115</v>
      </c>
      <c r="AI12" s="29">
        <v>0</v>
      </c>
      <c r="AJ12" s="29">
        <v>4.8000000000000001E-2</v>
      </c>
      <c r="AK12" s="27">
        <v>-0.27400000000000002</v>
      </c>
      <c r="AL12" s="27">
        <v>-0.17799999999999999</v>
      </c>
      <c r="AM12" s="27">
        <v>0.78900000000000003</v>
      </c>
      <c r="AN12" s="27">
        <v>0.56499999999999995</v>
      </c>
      <c r="AO12" s="29">
        <v>0.47</v>
      </c>
      <c r="AP12" s="29">
        <v>0.36</v>
      </c>
      <c r="AQ12" s="29">
        <v>0.753</v>
      </c>
      <c r="AR12" s="29">
        <v>0.51400000000000001</v>
      </c>
      <c r="AS12" s="29">
        <v>0.59</v>
      </c>
      <c r="AT12" s="29">
        <v>0.7</v>
      </c>
    </row>
    <row r="13" spans="1:46" s="29" customFormat="1" x14ac:dyDescent="0.45">
      <c r="A13" s="29">
        <v>0.25</v>
      </c>
      <c r="B13" s="29">
        <v>495</v>
      </c>
      <c r="C13" s="28">
        <v>-2.411</v>
      </c>
      <c r="D13" s="29">
        <v>1.5</v>
      </c>
      <c r="E13" s="28">
        <v>6.75</v>
      </c>
      <c r="F13" s="29">
        <v>2.4</v>
      </c>
      <c r="G13" s="29">
        <v>4.5</v>
      </c>
      <c r="H13" s="27">
        <v>1.7010000000000001</v>
      </c>
      <c r="I13" s="27">
        <v>-0.79</v>
      </c>
      <c r="J13" s="29">
        <v>0.27500000000000002</v>
      </c>
      <c r="K13" s="29">
        <v>-0.1</v>
      </c>
      <c r="L13" s="29">
        <v>-0.41</v>
      </c>
      <c r="M13" s="27">
        <v>2.3123999999999998</v>
      </c>
      <c r="N13" s="29">
        <v>0</v>
      </c>
      <c r="O13" s="29">
        <v>-3.7999999999999999E-2</v>
      </c>
      <c r="P13" s="27">
        <v>2.77</v>
      </c>
      <c r="Q13" s="29">
        <v>0</v>
      </c>
      <c r="R13" s="29">
        <v>-0.1</v>
      </c>
      <c r="S13" s="247">
        <v>0.6</v>
      </c>
      <c r="T13" s="28">
        <v>-0.24</v>
      </c>
      <c r="U13" s="247">
        <v>1.1000000000000001</v>
      </c>
      <c r="V13" s="29">
        <v>0</v>
      </c>
      <c r="W13" s="6">
        <v>-7.4000000000000003E-3</v>
      </c>
      <c r="X13" s="29">
        <v>0.1</v>
      </c>
      <c r="Y13" s="28">
        <v>0.05</v>
      </c>
      <c r="Z13" s="29">
        <v>0</v>
      </c>
      <c r="AA13" s="28">
        <v>0</v>
      </c>
      <c r="AB13" s="6">
        <v>-2.8999999999999998E-3</v>
      </c>
      <c r="AC13" s="6">
        <v>2.3999999999999998E-3</v>
      </c>
      <c r="AD13" s="6">
        <v>-3.5999999999999999E-3</v>
      </c>
      <c r="AE13" s="6">
        <v>7.4099999999999999E-2</v>
      </c>
      <c r="AF13" s="29">
        <v>3.6999999999999998E-2</v>
      </c>
      <c r="AG13" s="27">
        <v>0.248</v>
      </c>
      <c r="AH13" s="27">
        <v>0.122</v>
      </c>
      <c r="AI13" s="29">
        <v>0</v>
      </c>
      <c r="AJ13" s="29">
        <v>5.5E-2</v>
      </c>
      <c r="AK13" s="27">
        <v>-0.248</v>
      </c>
      <c r="AL13" s="27">
        <v>-0.187</v>
      </c>
      <c r="AM13" s="27">
        <v>0.77</v>
      </c>
      <c r="AN13" s="27">
        <v>0.56999999999999995</v>
      </c>
      <c r="AO13" s="29">
        <v>0.47</v>
      </c>
      <c r="AP13" s="29">
        <v>0.36</v>
      </c>
      <c r="AQ13" s="29">
        <v>0.72899999999999998</v>
      </c>
      <c r="AR13" s="29">
        <v>0.51300000000000001</v>
      </c>
      <c r="AS13" s="29">
        <v>0.61</v>
      </c>
      <c r="AT13" s="29">
        <v>0.7</v>
      </c>
    </row>
    <row r="14" spans="1:46" s="29" customFormat="1" x14ac:dyDescent="0.45">
      <c r="A14" s="29">
        <v>0.3</v>
      </c>
      <c r="B14" s="29">
        <v>430</v>
      </c>
      <c r="C14" s="28">
        <v>-2.7570000000000001</v>
      </c>
      <c r="D14" s="29">
        <v>1.5</v>
      </c>
      <c r="E14" s="28">
        <v>6.75</v>
      </c>
      <c r="F14" s="29">
        <v>2.4</v>
      </c>
      <c r="G14" s="29">
        <v>4.5</v>
      </c>
      <c r="H14" s="27">
        <v>1.712</v>
      </c>
      <c r="I14" s="27">
        <v>-0.79</v>
      </c>
      <c r="J14" s="29">
        <v>0.27500000000000002</v>
      </c>
      <c r="K14" s="29">
        <v>-0.1</v>
      </c>
      <c r="L14" s="29">
        <v>-0.41</v>
      </c>
      <c r="M14" s="27">
        <v>2.3382999999999998</v>
      </c>
      <c r="N14" s="29">
        <v>0</v>
      </c>
      <c r="O14" s="29">
        <v>-4.4999999999999998E-2</v>
      </c>
      <c r="P14" s="27">
        <v>3.25</v>
      </c>
      <c r="Q14" s="29">
        <v>0</v>
      </c>
      <c r="R14" s="29">
        <v>-0.1</v>
      </c>
      <c r="S14" s="247">
        <v>0.6</v>
      </c>
      <c r="T14" s="28">
        <v>-0.19</v>
      </c>
      <c r="U14" s="247">
        <v>1.03</v>
      </c>
      <c r="V14" s="29">
        <v>0</v>
      </c>
      <c r="W14" s="6">
        <v>-6.4000000000000003E-3</v>
      </c>
      <c r="X14" s="29">
        <v>0.1</v>
      </c>
      <c r="Y14" s="28">
        <v>0.05</v>
      </c>
      <c r="Z14" s="29">
        <v>0.03</v>
      </c>
      <c r="AA14" s="28">
        <v>0.03</v>
      </c>
      <c r="AB14" s="6">
        <v>-2.7000000000000001E-3</v>
      </c>
      <c r="AC14" s="6">
        <v>2E-3</v>
      </c>
      <c r="AD14" s="6">
        <v>-3.8999999999999998E-3</v>
      </c>
      <c r="AE14" s="6">
        <v>0.25480000000000003</v>
      </c>
      <c r="AF14" s="29">
        <v>-9.0999999999999998E-2</v>
      </c>
      <c r="AG14" s="27">
        <v>0.20300000000000001</v>
      </c>
      <c r="AH14" s="27">
        <v>9.6000000000000002E-2</v>
      </c>
      <c r="AI14" s="29">
        <v>0</v>
      </c>
      <c r="AJ14" s="29">
        <v>7.2999999999999995E-2</v>
      </c>
      <c r="AK14" s="27">
        <v>-0.20300000000000001</v>
      </c>
      <c r="AL14" s="27">
        <v>-0.159</v>
      </c>
      <c r="AM14" s="27">
        <v>0.74</v>
      </c>
      <c r="AN14" s="27">
        <v>0.57999999999999996</v>
      </c>
      <c r="AO14" s="29">
        <v>0.47</v>
      </c>
      <c r="AP14" s="29">
        <v>0.36</v>
      </c>
      <c r="AQ14" s="29">
        <v>0.69299999999999995</v>
      </c>
      <c r="AR14" s="29">
        <v>0.51900000000000002</v>
      </c>
      <c r="AS14" s="29">
        <v>0.63</v>
      </c>
      <c r="AT14" s="29">
        <v>0.7</v>
      </c>
    </row>
    <row r="15" spans="1:46" s="29" customFormat="1" x14ac:dyDescent="0.45">
      <c r="A15" s="29">
        <v>0.4</v>
      </c>
      <c r="B15" s="29">
        <v>360</v>
      </c>
      <c r="C15" s="28">
        <v>-3.278</v>
      </c>
      <c r="D15" s="29">
        <v>1.5</v>
      </c>
      <c r="E15" s="28">
        <v>6.75</v>
      </c>
      <c r="F15" s="29">
        <v>2.4</v>
      </c>
      <c r="G15" s="29">
        <v>4.5</v>
      </c>
      <c r="H15" s="27">
        <v>1.6619999999999999</v>
      </c>
      <c r="I15" s="27">
        <v>-0.79</v>
      </c>
      <c r="J15" s="29">
        <v>0.27500000000000002</v>
      </c>
      <c r="K15" s="29">
        <v>-0.1</v>
      </c>
      <c r="L15" s="29">
        <v>-0.41</v>
      </c>
      <c r="M15" s="27">
        <v>2.4687999999999999</v>
      </c>
      <c r="N15" s="29">
        <v>0</v>
      </c>
      <c r="O15" s="29">
        <v>-5.5E-2</v>
      </c>
      <c r="P15" s="27">
        <v>3.99</v>
      </c>
      <c r="Q15" s="29">
        <v>0</v>
      </c>
      <c r="R15" s="29">
        <v>-0.1</v>
      </c>
      <c r="S15" s="247">
        <v>0.57999999999999996</v>
      </c>
      <c r="T15" s="28">
        <v>-0.11</v>
      </c>
      <c r="U15" s="247">
        <v>0.92</v>
      </c>
      <c r="V15" s="29">
        <v>0</v>
      </c>
      <c r="W15" s="6">
        <v>-4.3E-3</v>
      </c>
      <c r="X15" s="29">
        <v>0.1</v>
      </c>
      <c r="Y15" s="28">
        <v>7.0000000000000007E-2</v>
      </c>
      <c r="Z15" s="29">
        <v>0.06</v>
      </c>
      <c r="AA15" s="28">
        <v>0.06</v>
      </c>
      <c r="AB15" s="6">
        <v>-2.3E-3</v>
      </c>
      <c r="AC15" s="6">
        <v>1E-3</v>
      </c>
      <c r="AD15" s="6">
        <v>-4.7999999999999996E-3</v>
      </c>
      <c r="AE15" s="6">
        <v>0.21360000000000001</v>
      </c>
      <c r="AF15" s="29">
        <v>0.129</v>
      </c>
      <c r="AG15" s="27">
        <v>0.23200000000000001</v>
      </c>
      <c r="AH15" s="27">
        <v>0.123</v>
      </c>
      <c r="AI15" s="29">
        <v>0</v>
      </c>
      <c r="AJ15" s="29">
        <v>0.14299999999999999</v>
      </c>
      <c r="AK15" s="27">
        <v>-0.154</v>
      </c>
      <c r="AL15" s="27">
        <v>-2.3E-2</v>
      </c>
      <c r="AM15" s="27">
        <v>0.69899999999999995</v>
      </c>
      <c r="AN15" s="27">
        <v>0.59</v>
      </c>
      <c r="AO15" s="29">
        <v>0.47</v>
      </c>
      <c r="AP15" s="29">
        <v>0.36</v>
      </c>
      <c r="AQ15" s="29">
        <v>0.64400000000000002</v>
      </c>
      <c r="AR15" s="29">
        <v>0.52400000000000002</v>
      </c>
      <c r="AS15" s="29">
        <v>0.66</v>
      </c>
      <c r="AT15" s="29">
        <v>0.7</v>
      </c>
    </row>
    <row r="16" spans="1:46" s="29" customFormat="1" x14ac:dyDescent="0.45">
      <c r="A16" s="29">
        <v>0.5</v>
      </c>
      <c r="B16" s="29">
        <v>340</v>
      </c>
      <c r="C16" s="28">
        <v>-3.5990000000000002</v>
      </c>
      <c r="D16" s="29">
        <v>1.5</v>
      </c>
      <c r="E16" s="28">
        <v>6.75</v>
      </c>
      <c r="F16" s="29">
        <v>2.4</v>
      </c>
      <c r="G16" s="29">
        <v>4.5</v>
      </c>
      <c r="H16" s="27">
        <v>1.571</v>
      </c>
      <c r="I16" s="27">
        <v>-0.79</v>
      </c>
      <c r="J16" s="29">
        <v>0.27500000000000002</v>
      </c>
      <c r="K16" s="29">
        <v>-0.1</v>
      </c>
      <c r="L16" s="29">
        <v>-0.41</v>
      </c>
      <c r="M16" s="27">
        <v>2.5586000000000002</v>
      </c>
      <c r="N16" s="29">
        <v>0</v>
      </c>
      <c r="O16" s="29">
        <v>-6.5000000000000002E-2</v>
      </c>
      <c r="P16" s="27">
        <v>4.45</v>
      </c>
      <c r="Q16" s="29">
        <v>0</v>
      </c>
      <c r="R16" s="29">
        <v>-0.1</v>
      </c>
      <c r="S16" s="247">
        <v>0.56000000000000005</v>
      </c>
      <c r="T16" s="28">
        <v>-0.04</v>
      </c>
      <c r="U16" s="247">
        <v>0.84</v>
      </c>
      <c r="V16" s="29">
        <v>0</v>
      </c>
      <c r="W16" s="6">
        <v>-3.2000000000000002E-3</v>
      </c>
      <c r="X16" s="29">
        <v>0.1</v>
      </c>
      <c r="Y16" s="28">
        <v>0.1</v>
      </c>
      <c r="Z16" s="29">
        <v>0.1</v>
      </c>
      <c r="AA16" s="28">
        <v>0.09</v>
      </c>
      <c r="AB16" s="6">
        <v>-2E-3</v>
      </c>
      <c r="AC16" s="6">
        <v>8.0000000000000004E-4</v>
      </c>
      <c r="AD16" s="6">
        <v>-5.0000000000000001E-3</v>
      </c>
      <c r="AE16" s="6">
        <v>0.1542</v>
      </c>
      <c r="AF16" s="29">
        <v>0.31</v>
      </c>
      <c r="AG16" s="27">
        <v>0.252</v>
      </c>
      <c r="AH16" s="27">
        <v>0.13400000000000001</v>
      </c>
      <c r="AI16" s="29">
        <v>0</v>
      </c>
      <c r="AJ16" s="29">
        <v>0.16</v>
      </c>
      <c r="AK16" s="27">
        <v>-0.159</v>
      </c>
      <c r="AL16" s="27">
        <v>-2.9000000000000001E-2</v>
      </c>
      <c r="AM16" s="27">
        <v>0.67600000000000005</v>
      </c>
      <c r="AN16" s="27">
        <v>0.6</v>
      </c>
      <c r="AO16" s="29">
        <v>0.47</v>
      </c>
      <c r="AP16" s="29">
        <v>0.36</v>
      </c>
      <c r="AQ16" s="29">
        <v>0.61599999999999999</v>
      </c>
      <c r="AR16" s="29">
        <v>0.53200000000000003</v>
      </c>
      <c r="AS16" s="29">
        <v>0.69</v>
      </c>
      <c r="AT16" s="29">
        <v>0.7</v>
      </c>
    </row>
    <row r="17" spans="1:46" s="29" customFormat="1" x14ac:dyDescent="0.45">
      <c r="A17" s="29">
        <v>0.75</v>
      </c>
      <c r="B17" s="29">
        <v>330</v>
      </c>
      <c r="C17" s="28">
        <v>-3.8</v>
      </c>
      <c r="D17" s="29">
        <v>1.5</v>
      </c>
      <c r="E17" s="28">
        <v>6.75</v>
      </c>
      <c r="F17" s="29">
        <v>2.4</v>
      </c>
      <c r="G17" s="29">
        <v>4.5</v>
      </c>
      <c r="H17" s="27">
        <v>1.2989999999999999</v>
      </c>
      <c r="I17" s="27">
        <v>-0.79</v>
      </c>
      <c r="J17" s="29">
        <v>0.27500000000000002</v>
      </c>
      <c r="K17" s="29">
        <v>-0.1</v>
      </c>
      <c r="L17" s="29">
        <v>-0.41</v>
      </c>
      <c r="M17" s="27">
        <v>2.6821000000000002</v>
      </c>
      <c r="N17" s="29">
        <v>0</v>
      </c>
      <c r="O17" s="29">
        <v>-9.5000000000000001E-2</v>
      </c>
      <c r="P17" s="27">
        <v>4.75</v>
      </c>
      <c r="Q17" s="29">
        <v>0</v>
      </c>
      <c r="R17" s="29">
        <v>-0.1</v>
      </c>
      <c r="S17" s="247">
        <v>0.53</v>
      </c>
      <c r="T17" s="28">
        <v>7.0000000000000007E-2</v>
      </c>
      <c r="U17" s="247">
        <v>0.68</v>
      </c>
      <c r="V17" s="29">
        <v>0</v>
      </c>
      <c r="W17" s="6">
        <v>-2.5000000000000001E-3</v>
      </c>
      <c r="X17" s="29">
        <v>0.14000000000000001</v>
      </c>
      <c r="Y17" s="28">
        <v>0.14000000000000001</v>
      </c>
      <c r="Z17" s="29">
        <v>0.14000000000000001</v>
      </c>
      <c r="AA17" s="28">
        <v>0.13</v>
      </c>
      <c r="AB17" s="6">
        <v>-1E-3</v>
      </c>
      <c r="AC17" s="6">
        <v>6.9999999999999999E-4</v>
      </c>
      <c r="AD17" s="6">
        <v>-4.1000000000000003E-3</v>
      </c>
      <c r="AE17" s="6">
        <v>7.8700000000000006E-2</v>
      </c>
      <c r="AF17" s="29">
        <v>0.505</v>
      </c>
      <c r="AG17" s="27">
        <v>0.20799999999999999</v>
      </c>
      <c r="AH17" s="27">
        <v>0.129</v>
      </c>
      <c r="AI17" s="29">
        <v>0</v>
      </c>
      <c r="AJ17" s="29">
        <v>0.158</v>
      </c>
      <c r="AK17" s="27">
        <v>-0.14099999999999999</v>
      </c>
      <c r="AL17" s="27">
        <v>6.0999999999999999E-2</v>
      </c>
      <c r="AM17" s="27">
        <v>0.63100000000000001</v>
      </c>
      <c r="AN17" s="27">
        <v>0.61499999999999999</v>
      </c>
      <c r="AO17" s="29">
        <v>0.47</v>
      </c>
      <c r="AP17" s="29">
        <v>0.36</v>
      </c>
      <c r="AQ17" s="29">
        <v>0.56599999999999995</v>
      </c>
      <c r="AR17" s="29">
        <v>0.54800000000000004</v>
      </c>
      <c r="AS17" s="29">
        <v>0.73</v>
      </c>
      <c r="AT17" s="29">
        <v>0.69</v>
      </c>
    </row>
    <row r="18" spans="1:46" s="29" customFormat="1" x14ac:dyDescent="0.45">
      <c r="A18" s="29">
        <v>1</v>
      </c>
      <c r="B18" s="29">
        <v>330</v>
      </c>
      <c r="C18" s="28">
        <v>-3.5</v>
      </c>
      <c r="D18" s="29">
        <v>1.5</v>
      </c>
      <c r="E18" s="28">
        <v>6.75</v>
      </c>
      <c r="F18" s="29">
        <v>2.4</v>
      </c>
      <c r="G18" s="29">
        <v>4.5</v>
      </c>
      <c r="H18" s="27">
        <v>1.0429999999999999</v>
      </c>
      <c r="I18" s="27">
        <v>-0.79</v>
      </c>
      <c r="J18" s="29">
        <v>0.27500000000000002</v>
      </c>
      <c r="K18" s="29">
        <v>-0.1</v>
      </c>
      <c r="L18" s="29">
        <v>-0.41</v>
      </c>
      <c r="M18" s="27">
        <v>2.7629999999999999</v>
      </c>
      <c r="N18" s="29">
        <v>0</v>
      </c>
      <c r="O18" s="29">
        <v>-0.11</v>
      </c>
      <c r="P18" s="27">
        <v>4.3</v>
      </c>
      <c r="Q18" s="29">
        <v>0</v>
      </c>
      <c r="R18" s="29">
        <v>-0.1</v>
      </c>
      <c r="S18" s="247">
        <v>0.5</v>
      </c>
      <c r="T18" s="28">
        <v>0.15</v>
      </c>
      <c r="U18" s="247">
        <v>0.56999999999999995</v>
      </c>
      <c r="V18" s="29">
        <v>0</v>
      </c>
      <c r="W18" s="6">
        <v>-2.5000000000000001E-3</v>
      </c>
      <c r="X18" s="29">
        <v>0.17</v>
      </c>
      <c r="Y18" s="28">
        <v>0.17</v>
      </c>
      <c r="Z18" s="29">
        <v>0.17</v>
      </c>
      <c r="AA18" s="28">
        <v>0.14000000000000001</v>
      </c>
      <c r="AB18" s="6">
        <v>-5.0000000000000001E-4</v>
      </c>
      <c r="AC18" s="6">
        <v>6.9999999999999999E-4</v>
      </c>
      <c r="AD18" s="6">
        <v>-3.2000000000000002E-3</v>
      </c>
      <c r="AE18" s="6">
        <v>4.7600000000000003E-2</v>
      </c>
      <c r="AF18" s="29">
        <v>0.35799999999999998</v>
      </c>
      <c r="AG18" s="27">
        <v>0.20799999999999999</v>
      </c>
      <c r="AH18" s="27">
        <v>0.152</v>
      </c>
      <c r="AI18" s="29">
        <v>0</v>
      </c>
      <c r="AJ18" s="29">
        <v>0.14499999999999999</v>
      </c>
      <c r="AK18" s="27">
        <v>-0.14399999999999999</v>
      </c>
      <c r="AL18" s="27">
        <v>6.2E-2</v>
      </c>
      <c r="AM18" s="27">
        <v>0.60899999999999999</v>
      </c>
      <c r="AN18" s="27">
        <v>0.63</v>
      </c>
      <c r="AO18" s="29">
        <v>0.47</v>
      </c>
      <c r="AP18" s="29">
        <v>0.36</v>
      </c>
      <c r="AQ18" s="29">
        <v>0.54100000000000004</v>
      </c>
      <c r="AR18" s="29">
        <v>0.56499999999999995</v>
      </c>
      <c r="AS18" s="29">
        <v>0.77</v>
      </c>
      <c r="AT18" s="29">
        <v>0.68</v>
      </c>
    </row>
    <row r="19" spans="1:46" s="29" customFormat="1" x14ac:dyDescent="0.45">
      <c r="A19" s="29">
        <v>1.5</v>
      </c>
      <c r="B19" s="29">
        <v>330</v>
      </c>
      <c r="C19" s="28">
        <v>-2.4</v>
      </c>
      <c r="D19" s="29">
        <v>1.5</v>
      </c>
      <c r="E19" s="28">
        <v>6.75</v>
      </c>
      <c r="F19" s="29">
        <v>2.4</v>
      </c>
      <c r="G19" s="29">
        <v>4.5</v>
      </c>
      <c r="H19" s="27">
        <v>0.66499999999999992</v>
      </c>
      <c r="I19" s="27">
        <v>-0.79</v>
      </c>
      <c r="J19" s="29">
        <v>0.27500000000000002</v>
      </c>
      <c r="K19" s="29">
        <v>-0.1</v>
      </c>
      <c r="L19" s="29">
        <v>-0.41</v>
      </c>
      <c r="M19" s="27">
        <v>2.8355000000000001</v>
      </c>
      <c r="N19" s="29">
        <v>0</v>
      </c>
      <c r="O19" s="29">
        <v>-0.124</v>
      </c>
      <c r="P19" s="27">
        <v>2.6</v>
      </c>
      <c r="Q19" s="29">
        <v>0</v>
      </c>
      <c r="R19" s="29">
        <v>-0.1</v>
      </c>
      <c r="S19" s="247">
        <v>0.42</v>
      </c>
      <c r="T19" s="28">
        <v>0.27</v>
      </c>
      <c r="U19" s="247">
        <v>0.42</v>
      </c>
      <c r="V19" s="29">
        <v>0</v>
      </c>
      <c r="W19" s="6">
        <v>-2.2000000000000001E-3</v>
      </c>
      <c r="X19" s="29">
        <v>0.22</v>
      </c>
      <c r="Y19" s="28">
        <v>0.21</v>
      </c>
      <c r="Z19" s="29">
        <v>0.2</v>
      </c>
      <c r="AA19" s="28">
        <v>0.16</v>
      </c>
      <c r="AB19" s="6">
        <v>-4.0000000000000002E-4</v>
      </c>
      <c r="AC19" s="6">
        <v>5.9999999999999995E-4</v>
      </c>
      <c r="AD19" s="6">
        <v>-2E-3</v>
      </c>
      <c r="AE19" s="6">
        <v>-1.6299999999999999E-2</v>
      </c>
      <c r="AF19" s="29">
        <v>0.13100000000000001</v>
      </c>
      <c r="AG19" s="27">
        <v>0.108</v>
      </c>
      <c r="AH19" s="27">
        <v>0.11799999999999999</v>
      </c>
      <c r="AI19" s="29">
        <v>0</v>
      </c>
      <c r="AJ19" s="29">
        <v>0.13100000000000001</v>
      </c>
      <c r="AK19" s="27">
        <v>-0.126</v>
      </c>
      <c r="AL19" s="27">
        <v>3.6999999999999998E-2</v>
      </c>
      <c r="AM19" s="27">
        <v>0.57799999999999996</v>
      </c>
      <c r="AN19" s="27">
        <v>0.64</v>
      </c>
      <c r="AO19" s="29">
        <v>0.47</v>
      </c>
      <c r="AP19" s="29">
        <v>0.36</v>
      </c>
      <c r="AQ19" s="29">
        <v>0.50600000000000001</v>
      </c>
      <c r="AR19" s="29">
        <v>0.57599999999999996</v>
      </c>
      <c r="AS19" s="29">
        <v>0.8</v>
      </c>
      <c r="AT19" s="29">
        <v>0.66</v>
      </c>
    </row>
    <row r="20" spans="1:46" s="29" customFormat="1" x14ac:dyDescent="0.45">
      <c r="A20" s="29">
        <v>2</v>
      </c>
      <c r="B20" s="29">
        <v>330</v>
      </c>
      <c r="C20" s="28">
        <v>-1</v>
      </c>
      <c r="D20" s="29">
        <v>1.5</v>
      </c>
      <c r="E20" s="28">
        <v>6.75</v>
      </c>
      <c r="F20" s="29">
        <v>2.4</v>
      </c>
      <c r="G20" s="29">
        <v>4.5</v>
      </c>
      <c r="H20" s="27">
        <v>0.32900000000000001</v>
      </c>
      <c r="I20" s="27">
        <v>-0.79</v>
      </c>
      <c r="J20" s="29">
        <v>0.27500000000000002</v>
      </c>
      <c r="K20" s="29">
        <v>-0.1</v>
      </c>
      <c r="L20" s="29">
        <v>-0.41</v>
      </c>
      <c r="M20" s="27">
        <v>2.8973</v>
      </c>
      <c r="N20" s="29">
        <v>0</v>
      </c>
      <c r="O20" s="29">
        <v>-0.13800000000000001</v>
      </c>
      <c r="P20" s="27">
        <v>0.55000000000000004</v>
      </c>
      <c r="Q20" s="29">
        <v>0</v>
      </c>
      <c r="R20" s="29">
        <v>-0.1</v>
      </c>
      <c r="S20" s="247">
        <v>0.35</v>
      </c>
      <c r="T20" s="28">
        <v>0.35</v>
      </c>
      <c r="U20" s="247">
        <v>0.31</v>
      </c>
      <c r="V20" s="29">
        <v>0</v>
      </c>
      <c r="W20" s="6">
        <v>-1.9E-3</v>
      </c>
      <c r="X20" s="29">
        <v>0.26</v>
      </c>
      <c r="Y20" s="28">
        <v>0.25</v>
      </c>
      <c r="Z20" s="29">
        <v>0.22</v>
      </c>
      <c r="AA20" s="28">
        <v>0.16</v>
      </c>
      <c r="AB20" s="6">
        <v>-2.0000000000000001E-4</v>
      </c>
      <c r="AC20" s="6">
        <v>2.9999999999999997E-4</v>
      </c>
      <c r="AD20" s="6">
        <v>-1.6999999999999999E-3</v>
      </c>
      <c r="AE20" s="6">
        <v>-0.1203</v>
      </c>
      <c r="AF20" s="29">
        <v>0.123</v>
      </c>
      <c r="AG20" s="27">
        <v>6.8000000000000005E-2</v>
      </c>
      <c r="AH20" s="27">
        <v>0.11899999999999999</v>
      </c>
      <c r="AI20" s="29">
        <v>0</v>
      </c>
      <c r="AJ20" s="29">
        <v>8.3000000000000004E-2</v>
      </c>
      <c r="AK20" s="27">
        <v>-7.4999999999999997E-2</v>
      </c>
      <c r="AL20" s="27">
        <v>-0.14299999999999999</v>
      </c>
      <c r="AM20" s="27">
        <v>0.55500000000000005</v>
      </c>
      <c r="AN20" s="27">
        <v>0.65</v>
      </c>
      <c r="AO20" s="29">
        <v>0.47</v>
      </c>
      <c r="AP20" s="29">
        <v>0.36</v>
      </c>
      <c r="AQ20" s="29">
        <v>0.48</v>
      </c>
      <c r="AR20" s="29">
        <v>0.58699999999999997</v>
      </c>
      <c r="AS20" s="29">
        <v>0.8</v>
      </c>
      <c r="AT20" s="29">
        <v>0.62</v>
      </c>
    </row>
    <row r="21" spans="1:46" s="29" customFormat="1" x14ac:dyDescent="0.45">
      <c r="A21" s="29">
        <v>3</v>
      </c>
      <c r="B21" s="29">
        <v>330</v>
      </c>
      <c r="C21" s="28">
        <v>0</v>
      </c>
      <c r="D21" s="29">
        <v>1.5</v>
      </c>
      <c r="E21" s="28">
        <v>6.82</v>
      </c>
      <c r="F21" s="29">
        <v>2.4</v>
      </c>
      <c r="G21" s="29">
        <v>4.5</v>
      </c>
      <c r="H21" s="27">
        <v>-6.0000000000000005E-2</v>
      </c>
      <c r="I21" s="27">
        <v>-0.79</v>
      </c>
      <c r="J21" s="29">
        <v>0.27500000000000002</v>
      </c>
      <c r="K21" s="29">
        <v>-0.1</v>
      </c>
      <c r="L21" s="29">
        <v>-0.41</v>
      </c>
      <c r="M21" s="27">
        <v>2.9060999999999999</v>
      </c>
      <c r="N21" s="29">
        <v>0</v>
      </c>
      <c r="O21" s="29">
        <v>-0.17199999999999999</v>
      </c>
      <c r="P21" s="27">
        <v>-0.95</v>
      </c>
      <c r="Q21" s="29">
        <v>0</v>
      </c>
      <c r="R21" s="29">
        <v>-0.1</v>
      </c>
      <c r="S21" s="247">
        <v>0.2</v>
      </c>
      <c r="T21" s="28">
        <v>0.46</v>
      </c>
      <c r="U21" s="247">
        <v>0.16</v>
      </c>
      <c r="V21" s="29">
        <v>0</v>
      </c>
      <c r="W21" s="6">
        <v>-1.5E-3</v>
      </c>
      <c r="X21" s="29">
        <v>0.34</v>
      </c>
      <c r="Y21" s="28">
        <v>0.3</v>
      </c>
      <c r="Z21" s="29">
        <v>0.23</v>
      </c>
      <c r="AA21" s="28">
        <v>0.16</v>
      </c>
      <c r="AB21" s="6">
        <v>0</v>
      </c>
      <c r="AC21" s="6">
        <v>0</v>
      </c>
      <c r="AD21" s="6">
        <v>-2E-3</v>
      </c>
      <c r="AE21" s="6">
        <v>-0.27189999999999998</v>
      </c>
      <c r="AF21" s="29">
        <v>0.109</v>
      </c>
      <c r="AG21" s="27">
        <v>-2.3E-2</v>
      </c>
      <c r="AH21" s="27">
        <v>9.2999999999999999E-2</v>
      </c>
      <c r="AI21" s="29">
        <v>0</v>
      </c>
      <c r="AJ21" s="29">
        <v>7.0000000000000007E-2</v>
      </c>
      <c r="AK21" s="27">
        <v>-2.1000000000000001E-2</v>
      </c>
      <c r="AL21" s="27">
        <v>-2.8000000000000001E-2</v>
      </c>
      <c r="AM21" s="27">
        <v>0.54800000000000004</v>
      </c>
      <c r="AN21" s="27">
        <v>0.64</v>
      </c>
      <c r="AO21" s="29">
        <v>0.47</v>
      </c>
      <c r="AP21" s="29">
        <v>0.36</v>
      </c>
      <c r="AQ21" s="29">
        <v>0.47199999999999998</v>
      </c>
      <c r="AR21" s="29">
        <v>0.57599999999999996</v>
      </c>
      <c r="AS21" s="29">
        <v>0.8</v>
      </c>
      <c r="AT21" s="29">
        <v>0.55000000000000004</v>
      </c>
    </row>
    <row r="22" spans="1:46" s="29" customFormat="1" x14ac:dyDescent="0.45">
      <c r="A22" s="29">
        <v>4</v>
      </c>
      <c r="B22" s="29">
        <v>330</v>
      </c>
      <c r="C22" s="28">
        <v>0</v>
      </c>
      <c r="D22" s="29">
        <v>1.5</v>
      </c>
      <c r="E22" s="28">
        <v>6.92</v>
      </c>
      <c r="F22" s="29">
        <v>2.4</v>
      </c>
      <c r="G22" s="29">
        <v>4.5</v>
      </c>
      <c r="H22" s="27">
        <v>-0.29899999999999999</v>
      </c>
      <c r="I22" s="27">
        <v>-0.79</v>
      </c>
      <c r="J22" s="29">
        <v>0.27500000000000002</v>
      </c>
      <c r="K22" s="29">
        <v>-0.1</v>
      </c>
      <c r="L22" s="29">
        <v>-0.41</v>
      </c>
      <c r="M22" s="27">
        <v>2.8887999999999998</v>
      </c>
      <c r="N22" s="29">
        <v>0</v>
      </c>
      <c r="O22" s="29">
        <v>-0.19700000000000001</v>
      </c>
      <c r="P22" s="27">
        <v>-0.95</v>
      </c>
      <c r="Q22" s="29">
        <v>0</v>
      </c>
      <c r="R22" s="29">
        <v>-0.1</v>
      </c>
      <c r="S22" s="247">
        <v>0</v>
      </c>
      <c r="T22" s="28">
        <v>0.54</v>
      </c>
      <c r="U22" s="247">
        <v>0.05</v>
      </c>
      <c r="V22" s="29">
        <v>0</v>
      </c>
      <c r="W22" s="6">
        <v>-1E-3</v>
      </c>
      <c r="X22" s="29">
        <v>0.41</v>
      </c>
      <c r="Y22" s="28">
        <v>0.32</v>
      </c>
      <c r="Z22" s="29">
        <v>0.23</v>
      </c>
      <c r="AA22" s="28">
        <v>0.14000000000000001</v>
      </c>
      <c r="AB22" s="6">
        <v>0</v>
      </c>
      <c r="AC22" s="6">
        <v>0</v>
      </c>
      <c r="AD22" s="6">
        <v>-2E-3</v>
      </c>
      <c r="AE22" s="6">
        <v>-0.29580000000000001</v>
      </c>
      <c r="AF22" s="29">
        <v>0.13500000000000001</v>
      </c>
      <c r="AG22" s="27">
        <v>2.8000000000000001E-2</v>
      </c>
      <c r="AH22" s="27">
        <v>8.4000000000000005E-2</v>
      </c>
      <c r="AI22" s="29">
        <v>0</v>
      </c>
      <c r="AJ22" s="29">
        <v>0.10100000000000001</v>
      </c>
      <c r="AK22" s="27">
        <v>7.1999999999999995E-2</v>
      </c>
      <c r="AL22" s="27">
        <v>-9.7000000000000003E-2</v>
      </c>
      <c r="AM22" s="27">
        <v>0.52700000000000002</v>
      </c>
      <c r="AN22" s="27">
        <v>0.63</v>
      </c>
      <c r="AO22" s="29">
        <v>0.47</v>
      </c>
      <c r="AP22" s="29">
        <v>0.36</v>
      </c>
      <c r="AQ22" s="29">
        <v>0.44700000000000001</v>
      </c>
      <c r="AR22" s="29">
        <v>0.56499999999999995</v>
      </c>
      <c r="AS22" s="29">
        <v>0.76</v>
      </c>
      <c r="AT22" s="29">
        <v>0.52</v>
      </c>
    </row>
    <row r="23" spans="1:46" s="29" customFormat="1" x14ac:dyDescent="0.45">
      <c r="A23" s="29">
        <v>5</v>
      </c>
      <c r="B23" s="29">
        <v>330</v>
      </c>
      <c r="C23" s="28">
        <v>0</v>
      </c>
      <c r="D23" s="29">
        <v>1.5</v>
      </c>
      <c r="E23" s="28">
        <v>7</v>
      </c>
      <c r="F23" s="29">
        <v>2.4</v>
      </c>
      <c r="G23" s="29">
        <v>4.5</v>
      </c>
      <c r="H23" s="27">
        <v>-0.56200000000000006</v>
      </c>
      <c r="I23" s="27">
        <v>-0.76500000000000001</v>
      </c>
      <c r="J23" s="29">
        <v>0.27500000000000002</v>
      </c>
      <c r="K23" s="29">
        <v>-0.1</v>
      </c>
      <c r="L23" s="29">
        <v>-0.41</v>
      </c>
      <c r="M23" s="27">
        <v>2.8984000000000001</v>
      </c>
      <c r="N23" s="29">
        <v>0</v>
      </c>
      <c r="O23" s="29">
        <v>-0.218</v>
      </c>
      <c r="P23" s="27">
        <v>-0.93</v>
      </c>
      <c r="Q23" s="29">
        <v>0</v>
      </c>
      <c r="R23" s="29">
        <v>-0.1</v>
      </c>
      <c r="S23" s="247">
        <v>0</v>
      </c>
      <c r="T23" s="28">
        <v>0.61</v>
      </c>
      <c r="U23" s="247">
        <v>-0.04</v>
      </c>
      <c r="V23" s="29">
        <v>0</v>
      </c>
      <c r="W23" s="6">
        <v>-1E-3</v>
      </c>
      <c r="X23" s="29">
        <v>0.51</v>
      </c>
      <c r="Y23" s="28">
        <v>0.32</v>
      </c>
      <c r="Z23" s="29">
        <v>0.22</v>
      </c>
      <c r="AA23" s="28">
        <v>0.13</v>
      </c>
      <c r="AB23" s="6">
        <v>0</v>
      </c>
      <c r="AC23" s="6">
        <v>0</v>
      </c>
      <c r="AD23" s="6">
        <v>-2E-3</v>
      </c>
      <c r="AE23" s="6">
        <v>-0.27179999999999999</v>
      </c>
      <c r="AF23" s="29">
        <v>0.189</v>
      </c>
      <c r="AG23" s="27">
        <v>3.1E-2</v>
      </c>
      <c r="AH23" s="27">
        <v>5.8000000000000003E-2</v>
      </c>
      <c r="AI23" s="29">
        <v>0</v>
      </c>
      <c r="AJ23" s="29">
        <v>9.5000000000000001E-2</v>
      </c>
      <c r="AK23" s="27">
        <v>0.20499999999999999</v>
      </c>
      <c r="AL23" s="27">
        <v>1.4999999999999999E-2</v>
      </c>
      <c r="AM23" s="27">
        <v>0.505</v>
      </c>
      <c r="AN23" s="27">
        <v>0.63</v>
      </c>
      <c r="AO23" s="29">
        <v>0.47</v>
      </c>
      <c r="AP23" s="29">
        <v>0.36</v>
      </c>
      <c r="AQ23" s="29">
        <v>0.42499999999999999</v>
      </c>
      <c r="AR23" s="29">
        <v>0.56799999999999995</v>
      </c>
      <c r="AS23" s="29">
        <v>0.72</v>
      </c>
      <c r="AT23" s="29">
        <v>0.5</v>
      </c>
    </row>
    <row r="24" spans="1:46" s="29" customFormat="1" x14ac:dyDescent="0.45">
      <c r="A24" s="29">
        <v>6</v>
      </c>
      <c r="B24" s="29">
        <v>330</v>
      </c>
      <c r="C24" s="28">
        <v>0</v>
      </c>
      <c r="D24" s="29">
        <v>1.5</v>
      </c>
      <c r="E24" s="28">
        <v>7.06</v>
      </c>
      <c r="F24" s="29">
        <v>2.4</v>
      </c>
      <c r="G24" s="29">
        <v>4.5</v>
      </c>
      <c r="H24" s="27">
        <v>-0.875</v>
      </c>
      <c r="I24" s="27">
        <v>-0.71099999999999997</v>
      </c>
      <c r="J24" s="29">
        <v>0.27500000000000002</v>
      </c>
      <c r="K24" s="29">
        <v>-0.1</v>
      </c>
      <c r="L24" s="29">
        <v>-0.41</v>
      </c>
      <c r="M24" s="27">
        <v>2.8955000000000002</v>
      </c>
      <c r="N24" s="29">
        <v>0</v>
      </c>
      <c r="O24" s="29">
        <v>-0.23499999999999999</v>
      </c>
      <c r="P24" s="27">
        <v>-0.91</v>
      </c>
      <c r="Q24" s="29">
        <v>0</v>
      </c>
      <c r="R24" s="29">
        <v>-0.2</v>
      </c>
      <c r="S24" s="247">
        <v>0</v>
      </c>
      <c r="T24" s="28">
        <v>0.65</v>
      </c>
      <c r="U24" s="247">
        <v>-0.11</v>
      </c>
      <c r="V24" s="29">
        <v>0</v>
      </c>
      <c r="W24" s="6">
        <v>-1E-3</v>
      </c>
      <c r="X24" s="29">
        <v>0.55000000000000004</v>
      </c>
      <c r="Y24" s="28">
        <v>0.32</v>
      </c>
      <c r="Z24" s="29">
        <v>0.2</v>
      </c>
      <c r="AA24" s="28">
        <v>0.1</v>
      </c>
      <c r="AB24" s="6">
        <v>0</v>
      </c>
      <c r="AC24" s="6">
        <v>0</v>
      </c>
      <c r="AD24" s="6">
        <v>-2E-3</v>
      </c>
      <c r="AE24" s="6">
        <v>-0.25169999999999998</v>
      </c>
      <c r="AF24" s="29">
        <v>0.215</v>
      </c>
      <c r="AG24" s="27">
        <v>2.4E-2</v>
      </c>
      <c r="AH24" s="27">
        <v>6.5000000000000002E-2</v>
      </c>
      <c r="AI24" s="29">
        <v>0</v>
      </c>
      <c r="AJ24" s="29">
        <v>0.13300000000000001</v>
      </c>
      <c r="AK24" s="27">
        <v>0.28499999999999998</v>
      </c>
      <c r="AL24" s="27">
        <v>0.104</v>
      </c>
      <c r="AM24" s="27">
        <v>0.47699999999999998</v>
      </c>
      <c r="AN24" s="27">
        <v>0.63</v>
      </c>
      <c r="AO24" s="29">
        <v>0.47</v>
      </c>
      <c r="AP24" s="29">
        <v>0.36</v>
      </c>
      <c r="AQ24" s="29">
        <v>0.39500000000000002</v>
      </c>
      <c r="AR24" s="29">
        <v>0.57099999999999995</v>
      </c>
      <c r="AS24" s="29">
        <v>0.7</v>
      </c>
      <c r="AT24" s="29">
        <v>0.5</v>
      </c>
    </row>
    <row r="25" spans="1:46" s="29" customFormat="1" x14ac:dyDescent="0.45">
      <c r="A25" s="29">
        <v>7.5</v>
      </c>
      <c r="B25" s="29">
        <v>330</v>
      </c>
      <c r="C25" s="28">
        <v>0</v>
      </c>
      <c r="D25" s="29">
        <v>1.5</v>
      </c>
      <c r="E25" s="27">
        <v>7.1449999999999996</v>
      </c>
      <c r="F25" s="29">
        <v>2.4</v>
      </c>
      <c r="G25" s="29">
        <v>4.5</v>
      </c>
      <c r="H25" s="27">
        <v>-1.3029999999999999</v>
      </c>
      <c r="I25" s="27">
        <v>-0.63400000000000001</v>
      </c>
      <c r="J25" s="29">
        <v>0.27500000000000002</v>
      </c>
      <c r="K25" s="29">
        <v>-0.1</v>
      </c>
      <c r="L25" s="29">
        <v>-0.41</v>
      </c>
      <c r="M25" s="27">
        <v>2.87</v>
      </c>
      <c r="N25" s="29">
        <v>0</v>
      </c>
      <c r="O25" s="29">
        <v>-0.255</v>
      </c>
      <c r="P25" s="27">
        <v>-0.87</v>
      </c>
      <c r="Q25" s="29">
        <v>0</v>
      </c>
      <c r="R25" s="29">
        <v>-0.2</v>
      </c>
      <c r="S25" s="247">
        <v>0</v>
      </c>
      <c r="T25" s="28">
        <v>0.72</v>
      </c>
      <c r="U25" s="247">
        <v>-0.19</v>
      </c>
      <c r="V25" s="29">
        <v>0</v>
      </c>
      <c r="W25" s="6">
        <v>-1E-3</v>
      </c>
      <c r="X25" s="29">
        <v>0.49</v>
      </c>
      <c r="Y25" s="28">
        <v>0.27500000000000002</v>
      </c>
      <c r="Z25" s="29">
        <v>0.17</v>
      </c>
      <c r="AA25" s="28">
        <v>0.09</v>
      </c>
      <c r="AB25" s="6">
        <v>0</v>
      </c>
      <c r="AC25" s="6">
        <v>0</v>
      </c>
      <c r="AD25" s="6">
        <v>-2E-3</v>
      </c>
      <c r="AE25" s="6">
        <v>-0.14000000000000001</v>
      </c>
      <c r="AF25" s="29">
        <v>0.15</v>
      </c>
      <c r="AG25" s="27">
        <v>-7.0000000000000007E-2</v>
      </c>
      <c r="AH25" s="27">
        <v>0</v>
      </c>
      <c r="AI25" s="29">
        <v>0</v>
      </c>
      <c r="AJ25" s="29">
        <v>0.151</v>
      </c>
      <c r="AK25" s="27">
        <v>0.32900000000000001</v>
      </c>
      <c r="AL25" s="27">
        <v>0.29899999999999999</v>
      </c>
      <c r="AM25" s="27">
        <v>0.45700000000000002</v>
      </c>
      <c r="AN25" s="27">
        <v>0.63</v>
      </c>
      <c r="AO25" s="29">
        <v>0.47</v>
      </c>
      <c r="AP25" s="29">
        <v>0.36</v>
      </c>
      <c r="AQ25" s="29">
        <v>0.378</v>
      </c>
      <c r="AR25" s="29">
        <v>0.57499999999999996</v>
      </c>
      <c r="AS25" s="29">
        <v>0.67</v>
      </c>
      <c r="AT25" s="29">
        <v>0.5</v>
      </c>
    </row>
    <row r="26" spans="1:46" s="29" customFormat="1" x14ac:dyDescent="0.45">
      <c r="A26" s="29">
        <v>10</v>
      </c>
      <c r="B26" s="29">
        <v>330</v>
      </c>
      <c r="C26" s="28">
        <v>0</v>
      </c>
      <c r="D26" s="29">
        <v>1.5</v>
      </c>
      <c r="E26" s="28">
        <v>7.25</v>
      </c>
      <c r="F26" s="29">
        <v>2.4</v>
      </c>
      <c r="G26" s="29">
        <v>4.5</v>
      </c>
      <c r="H26" s="27">
        <v>-1.9280000000000002</v>
      </c>
      <c r="I26" s="27">
        <v>-0.52900000000000003</v>
      </c>
      <c r="J26" s="29">
        <v>0.27500000000000002</v>
      </c>
      <c r="K26" s="29">
        <v>-0.1</v>
      </c>
      <c r="L26" s="29">
        <v>-0.41</v>
      </c>
      <c r="M26" s="27">
        <v>2.8430999999999997</v>
      </c>
      <c r="N26" s="29">
        <v>0</v>
      </c>
      <c r="O26" s="29">
        <v>-0.28500000000000003</v>
      </c>
      <c r="P26" s="27">
        <v>-0.8</v>
      </c>
      <c r="Q26" s="29">
        <v>0</v>
      </c>
      <c r="R26" s="29">
        <v>-0.2</v>
      </c>
      <c r="S26" s="247">
        <v>0</v>
      </c>
      <c r="T26" s="28">
        <v>0.8</v>
      </c>
      <c r="U26" s="247">
        <v>-0.3</v>
      </c>
      <c r="V26" s="29">
        <v>0</v>
      </c>
      <c r="W26" s="6">
        <v>-1E-3</v>
      </c>
      <c r="X26" s="29">
        <v>0.42</v>
      </c>
      <c r="Y26" s="28">
        <v>0.22</v>
      </c>
      <c r="Z26" s="29">
        <v>0.14000000000000001</v>
      </c>
      <c r="AA26" s="28">
        <v>0.08</v>
      </c>
      <c r="AB26" s="6">
        <v>0</v>
      </c>
      <c r="AC26" s="6">
        <v>0</v>
      </c>
      <c r="AD26" s="6">
        <v>-2E-3</v>
      </c>
      <c r="AE26" s="6">
        <v>-2.1600000000000001E-2</v>
      </c>
      <c r="AF26" s="29">
        <v>9.1999999999999998E-2</v>
      </c>
      <c r="AG26" s="27">
        <v>-0.159</v>
      </c>
      <c r="AH26" s="27">
        <v>-0.05</v>
      </c>
      <c r="AI26" s="29">
        <v>0</v>
      </c>
      <c r="AJ26" s="29">
        <v>0.124</v>
      </c>
      <c r="AK26" s="27">
        <v>0.30099999999999999</v>
      </c>
      <c r="AL26" s="27">
        <v>0.24299999999999999</v>
      </c>
      <c r="AM26" s="27">
        <v>0.42899999999999999</v>
      </c>
      <c r="AN26" s="27">
        <v>0.63</v>
      </c>
      <c r="AO26" s="29">
        <v>0.47</v>
      </c>
      <c r="AP26" s="29">
        <v>0.36</v>
      </c>
      <c r="AQ26" s="29">
        <v>0.35899999999999999</v>
      </c>
      <c r="AR26" s="29">
        <v>0.58499999999999996</v>
      </c>
      <c r="AS26" s="29">
        <v>0.64</v>
      </c>
      <c r="AT26" s="29">
        <v>0.5</v>
      </c>
    </row>
    <row r="27" spans="1:46" s="29" customFormat="1" x14ac:dyDescent="0.45">
      <c r="A27" s="29">
        <v>0</v>
      </c>
      <c r="B27" s="29">
        <v>660</v>
      </c>
      <c r="C27" s="28">
        <v>-1.47</v>
      </c>
      <c r="D27" s="29">
        <v>1.5</v>
      </c>
      <c r="E27" s="28">
        <v>6.75</v>
      </c>
      <c r="F27" s="29">
        <v>2.4</v>
      </c>
      <c r="G27" s="29">
        <v>4.5</v>
      </c>
      <c r="H27" s="27">
        <v>0.58699999999999997</v>
      </c>
      <c r="I27" s="27">
        <v>-0.79</v>
      </c>
      <c r="J27" s="29">
        <v>0.27500000000000002</v>
      </c>
      <c r="K27" s="29">
        <v>-0.1</v>
      </c>
      <c r="L27" s="29">
        <v>-0.41</v>
      </c>
      <c r="M27" s="27">
        <v>2.1541000000000001</v>
      </c>
      <c r="N27" s="29">
        <v>0</v>
      </c>
      <c r="O27" s="29">
        <v>-1.4999999999999999E-2</v>
      </c>
      <c r="P27" s="27">
        <v>1.7350000000000001</v>
      </c>
      <c r="Q27" s="29">
        <v>0</v>
      </c>
      <c r="R27" s="29">
        <v>-0.1</v>
      </c>
      <c r="S27" s="247">
        <v>0.6</v>
      </c>
      <c r="T27" s="28">
        <v>-0.3</v>
      </c>
      <c r="U27" s="247">
        <v>1.1000000000000001</v>
      </c>
      <c r="V27" s="29">
        <v>0</v>
      </c>
      <c r="W27" s="6">
        <v>-7.1999999999999998E-3</v>
      </c>
      <c r="X27" s="29">
        <v>0.1</v>
      </c>
      <c r="Y27" s="28">
        <v>0.05</v>
      </c>
      <c r="Z27" s="29">
        <v>0</v>
      </c>
      <c r="AA27" s="28">
        <v>-0.05</v>
      </c>
      <c r="AB27" s="6">
        <v>-1.5E-3</v>
      </c>
      <c r="AC27" s="6">
        <v>2.5000000000000001E-3</v>
      </c>
      <c r="AD27" s="6">
        <v>-3.3999999999999998E-3</v>
      </c>
      <c r="AE27" s="6">
        <v>-0.15029999999999999</v>
      </c>
      <c r="AF27" s="29">
        <v>0.26500000000000001</v>
      </c>
      <c r="AG27" s="27">
        <v>0.33700000000000002</v>
      </c>
      <c r="AH27" s="27">
        <v>0.188</v>
      </c>
      <c r="AI27" s="29">
        <v>0</v>
      </c>
      <c r="AJ27" s="29">
        <v>8.7999999999999995E-2</v>
      </c>
      <c r="AK27" s="27">
        <v>-0.19600000000000001</v>
      </c>
      <c r="AL27" s="27">
        <v>4.3999999999999997E-2</v>
      </c>
      <c r="AM27" s="27">
        <v>0.754</v>
      </c>
      <c r="AN27" s="27">
        <v>0.52</v>
      </c>
      <c r="AO27" s="29">
        <v>0.47</v>
      </c>
      <c r="AP27" s="29">
        <v>0.36</v>
      </c>
      <c r="AQ27" s="29">
        <v>0.74099999999999999</v>
      </c>
      <c r="AR27" s="29">
        <v>0.501</v>
      </c>
      <c r="AS27" s="29">
        <v>0.54</v>
      </c>
      <c r="AT27" s="29">
        <v>0.63</v>
      </c>
    </row>
    <row r="28" spans="1:46" s="29" customFormat="1" x14ac:dyDescent="0.45">
      <c r="A28" s="29">
        <v>-1</v>
      </c>
      <c r="B28" s="29">
        <v>330</v>
      </c>
      <c r="C28" s="28">
        <v>-2.02</v>
      </c>
      <c r="D28" s="29">
        <v>1.5</v>
      </c>
      <c r="E28" s="28">
        <v>6.75</v>
      </c>
      <c r="F28" s="29">
        <v>2400</v>
      </c>
      <c r="G28" s="29">
        <v>4.5</v>
      </c>
      <c r="H28" s="27">
        <v>5.9749999999999996</v>
      </c>
      <c r="I28" s="27">
        <v>-0.91900000000000004</v>
      </c>
      <c r="J28" s="29">
        <v>0.27500000000000002</v>
      </c>
      <c r="K28" s="29">
        <v>-0.1</v>
      </c>
      <c r="L28" s="29">
        <v>-0.41</v>
      </c>
      <c r="M28" s="27">
        <v>2.3656999999999999</v>
      </c>
      <c r="N28" s="29">
        <v>0</v>
      </c>
      <c r="O28" s="29">
        <v>-9.4E-2</v>
      </c>
      <c r="P28" s="27">
        <v>2.36</v>
      </c>
      <c r="Q28" s="29">
        <v>0</v>
      </c>
      <c r="R28" s="29">
        <v>-0.1</v>
      </c>
      <c r="S28" s="247">
        <v>0.25</v>
      </c>
      <c r="T28" s="28">
        <v>0.22</v>
      </c>
      <c r="U28" s="247">
        <v>0.3</v>
      </c>
      <c r="V28" s="29">
        <v>0</v>
      </c>
      <c r="W28" s="6">
        <v>-5.0000000000000001E-4</v>
      </c>
      <c r="X28" s="29">
        <v>0.28000000000000003</v>
      </c>
      <c r="Y28" s="28">
        <v>0.15</v>
      </c>
      <c r="Z28" s="29">
        <v>0.09</v>
      </c>
      <c r="AA28" s="28">
        <v>7.0000000000000007E-2</v>
      </c>
      <c r="AB28" s="6">
        <v>-1E-4</v>
      </c>
      <c r="AC28" s="6">
        <v>5.0000000000000001E-4</v>
      </c>
      <c r="AD28" s="6">
        <v>-3.7000000000000002E-3</v>
      </c>
      <c r="AE28" s="6">
        <v>-0.1462</v>
      </c>
      <c r="AF28" s="29">
        <v>0.377</v>
      </c>
      <c r="AG28" s="27">
        <v>0.21199999999999999</v>
      </c>
      <c r="AH28" s="27">
        <v>0.157</v>
      </c>
      <c r="AI28" s="29">
        <v>0</v>
      </c>
      <c r="AJ28" s="29">
        <v>9.5000000000000001E-2</v>
      </c>
      <c r="AK28" s="27">
        <v>-3.7999999999999999E-2</v>
      </c>
      <c r="AL28" s="29">
        <v>6.5000000000000002E-2</v>
      </c>
      <c r="AM28" s="29">
        <v>0.66200000000000003</v>
      </c>
      <c r="AN28" s="29">
        <v>0.51</v>
      </c>
      <c r="AO28" s="29">
        <v>0.38</v>
      </c>
      <c r="AP28" s="29">
        <v>0.38</v>
      </c>
      <c r="AQ28" s="29">
        <v>0.66</v>
      </c>
      <c r="AR28" s="29">
        <v>0.51</v>
      </c>
      <c r="AS28" s="29">
        <v>0.57999999999999996</v>
      </c>
      <c r="AT28" s="29">
        <v>0.53</v>
      </c>
    </row>
    <row r="29" spans="1:46" x14ac:dyDescent="0.45">
      <c r="I29" s="42"/>
      <c r="J29" s="42"/>
      <c r="N29" s="42"/>
      <c r="Q29" s="42"/>
      <c r="W29" s="36"/>
      <c r="Z29" s="36"/>
      <c r="AA29" s="42"/>
      <c r="AB29" s="42"/>
      <c r="AD29" s="42"/>
      <c r="AE29" s="42"/>
      <c r="AF29" s="42"/>
    </row>
    <row r="30" spans="1:46" x14ac:dyDescent="0.45">
      <c r="A30" s="29"/>
      <c r="AM30" s="36"/>
    </row>
    <row r="31" spans="1:46" x14ac:dyDescent="0.45">
      <c r="A31" s="29"/>
    </row>
    <row r="32" spans="1:46" x14ac:dyDescent="0.45">
      <c r="A32" s="29"/>
    </row>
    <row r="33" spans="1:1" x14ac:dyDescent="0.45">
      <c r="A33" s="29"/>
    </row>
    <row r="34" spans="1:1" x14ac:dyDescent="0.45">
      <c r="A34" s="29"/>
    </row>
    <row r="35" spans="1:1" x14ac:dyDescent="0.45">
      <c r="A35" s="29"/>
    </row>
    <row r="36" spans="1:1" x14ac:dyDescent="0.45">
      <c r="A36" s="29"/>
    </row>
    <row r="37" spans="1:1" x14ac:dyDescent="0.45">
      <c r="A37" s="29"/>
    </row>
    <row r="38" spans="1:1" x14ac:dyDescent="0.45">
      <c r="A38" s="29"/>
    </row>
    <row r="39" spans="1:1" x14ac:dyDescent="0.45">
      <c r="A39" s="29"/>
    </row>
    <row r="40" spans="1:1" x14ac:dyDescent="0.45">
      <c r="A40" s="29"/>
    </row>
    <row r="41" spans="1:1" x14ac:dyDescent="0.45">
      <c r="A41" s="29"/>
    </row>
    <row r="42" spans="1:1" x14ac:dyDescent="0.45">
      <c r="A42" s="29"/>
    </row>
    <row r="43" spans="1:1" x14ac:dyDescent="0.45">
      <c r="A43" s="29"/>
    </row>
    <row r="44" spans="1:1" x14ac:dyDescent="0.45">
      <c r="A44" s="29"/>
    </row>
    <row r="45" spans="1:1" x14ac:dyDescent="0.45">
      <c r="A45" s="29"/>
    </row>
    <row r="46" spans="1:1" x14ac:dyDescent="0.45">
      <c r="A46" s="29"/>
    </row>
    <row r="47" spans="1:1" x14ac:dyDescent="0.45">
      <c r="A47" s="29"/>
    </row>
    <row r="48" spans="1:1" x14ac:dyDescent="0.45">
      <c r="A48" s="29"/>
    </row>
    <row r="49" spans="1:1" x14ac:dyDescent="0.45">
      <c r="A49" s="29"/>
    </row>
    <row r="50" spans="1:1" x14ac:dyDescent="0.45">
      <c r="A50" s="29"/>
    </row>
    <row r="51" spans="1:1" x14ac:dyDescent="0.45">
      <c r="A51" s="29"/>
    </row>
    <row r="52" spans="1:1" x14ac:dyDescent="0.45">
      <c r="A52" s="29"/>
    </row>
    <row r="53" spans="1:1" x14ac:dyDescent="0.45">
      <c r="A53" s="29"/>
    </row>
  </sheetData>
  <sheetProtection password="EDF4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C103"/>
  <sheetViews>
    <sheetView topLeftCell="A4" workbookViewId="0">
      <selection activeCell="A9" sqref="A9"/>
    </sheetView>
  </sheetViews>
  <sheetFormatPr defaultColWidth="8.86328125" defaultRowHeight="14.25" x14ac:dyDescent="0.45"/>
  <cols>
    <col min="1" max="1" width="16.73046875" style="49" customWidth="1"/>
    <col min="2" max="2" width="21.1328125" customWidth="1"/>
    <col min="3" max="3" width="10.86328125" bestFit="1" customWidth="1"/>
    <col min="4" max="4" width="7.265625" customWidth="1"/>
    <col min="5" max="5" width="9.265625" hidden="1" customWidth="1"/>
    <col min="6" max="6" width="10.86328125" hidden="1" customWidth="1"/>
    <col min="7" max="7" width="9.3984375" hidden="1" customWidth="1"/>
    <col min="8" max="9" width="9" hidden="1" customWidth="1"/>
    <col min="10" max="10" width="10" hidden="1" customWidth="1"/>
    <col min="11" max="11" width="7.265625" hidden="1" customWidth="1"/>
    <col min="12" max="12" width="10.73046875" style="41" hidden="1" customWidth="1"/>
    <col min="13" max="14" width="7.265625" style="27" hidden="1" customWidth="1"/>
    <col min="15" max="15" width="9.86328125" style="27" hidden="1" customWidth="1"/>
    <col min="16" max="16" width="15.1328125" style="27" hidden="1" customWidth="1"/>
    <col min="17" max="18" width="7.265625" style="27" hidden="1" customWidth="1"/>
    <col min="19" max="19" width="11.3984375" style="256" customWidth="1"/>
    <col min="20" max="20" width="11.3984375" customWidth="1"/>
  </cols>
  <sheetData>
    <row r="1" spans="1:29" x14ac:dyDescent="0.45">
      <c r="A1" s="57" t="s">
        <v>427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24"/>
      <c r="N1" s="24"/>
      <c r="O1" s="24"/>
      <c r="P1" s="24"/>
      <c r="Q1" s="24"/>
      <c r="R1" s="24"/>
      <c r="S1" s="252"/>
      <c r="T1" s="51"/>
      <c r="U1" s="51"/>
      <c r="V1" s="51"/>
      <c r="W1" s="51"/>
      <c r="X1" s="51"/>
      <c r="Y1" s="51"/>
      <c r="Z1" s="51"/>
      <c r="AA1" s="51"/>
      <c r="AB1" s="51"/>
      <c r="AC1" s="51"/>
    </row>
    <row r="2" spans="1:29" s="1" customFormat="1" ht="15" customHeight="1" x14ac:dyDescent="0.35">
      <c r="A2" s="70"/>
      <c r="M2" s="9"/>
      <c r="N2" s="9"/>
      <c r="O2" s="9"/>
      <c r="P2" s="9"/>
      <c r="Q2" s="9"/>
      <c r="R2" s="9"/>
      <c r="S2" s="253"/>
    </row>
    <row r="3" spans="1:29" ht="33" customHeight="1" x14ac:dyDescent="0.45">
      <c r="A3" s="171" t="s">
        <v>383</v>
      </c>
      <c r="B3" s="171" t="s">
        <v>382</v>
      </c>
      <c r="C3" s="395"/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395"/>
      <c r="P3" s="395"/>
      <c r="Q3" s="395"/>
      <c r="R3" s="395"/>
      <c r="S3" s="254" t="s">
        <v>429</v>
      </c>
    </row>
    <row r="4" spans="1:29" s="1" customFormat="1" ht="15" customHeight="1" x14ac:dyDescent="0.45">
      <c r="A4" s="70"/>
      <c r="J4" s="93"/>
      <c r="M4" s="9"/>
      <c r="N4" s="9"/>
      <c r="O4" s="9"/>
      <c r="P4" s="9"/>
      <c r="Q4" s="9"/>
      <c r="R4" s="9"/>
      <c r="S4" s="394" t="s">
        <v>264</v>
      </c>
      <c r="T4" s="394"/>
    </row>
    <row r="5" spans="1:29" ht="15" x14ac:dyDescent="0.45">
      <c r="A5" s="75" t="s">
        <v>0</v>
      </c>
      <c r="C5" s="20" t="s">
        <v>20</v>
      </c>
      <c r="D5" s="21" t="s">
        <v>21</v>
      </c>
      <c r="E5" s="21" t="s">
        <v>22</v>
      </c>
      <c r="F5" s="21" t="s">
        <v>23</v>
      </c>
      <c r="G5" s="21" t="s">
        <v>186</v>
      </c>
      <c r="H5" s="21" t="s">
        <v>187</v>
      </c>
      <c r="I5" s="21" t="s">
        <v>193</v>
      </c>
      <c r="J5" s="21" t="s">
        <v>221</v>
      </c>
      <c r="K5" s="21" t="s">
        <v>24</v>
      </c>
      <c r="L5" s="101" t="s">
        <v>25</v>
      </c>
      <c r="M5" s="104" t="s">
        <v>258</v>
      </c>
      <c r="N5" s="104" t="s">
        <v>259</v>
      </c>
      <c r="O5" s="104" t="s">
        <v>262</v>
      </c>
      <c r="P5" s="99" t="s">
        <v>261</v>
      </c>
      <c r="Q5" s="104" t="s">
        <v>260</v>
      </c>
      <c r="R5" s="105" t="s">
        <v>32</v>
      </c>
      <c r="S5" s="255" t="s">
        <v>25</v>
      </c>
      <c r="T5" s="37" t="s">
        <v>32</v>
      </c>
    </row>
    <row r="6" spans="1:29" ht="15" customHeight="1" x14ac:dyDescent="0.45">
      <c r="A6" s="69">
        <f>Main!$B$24</f>
        <v>8.1</v>
      </c>
      <c r="B6" s="94" t="str">
        <f>IF(AND($A$21=1,$A$6&lt;3),"! Not Applicable !",IF(AND($A$21=1,$A$6&gt;8.5),"! Not Applicable !",IF(AND($A$33=1,$A$6&lt;3),"! Not Applicable !",IF(AND($A$33=1,$A$6&gt;8.5),"! Not Applicable !",IF(AND($A$24=1,$A$6&lt;3),"! Not Applicable !",IF(AND($A$24=1,$A$6&gt;7),"! Not Applicable !",""))))))</f>
        <v/>
      </c>
      <c r="C6" s="393" t="s">
        <v>431</v>
      </c>
      <c r="D6" s="11">
        <v>0.01</v>
      </c>
      <c r="E6" s="7">
        <f>IF($A$6&lt;=BSSA14_Coeffs!$I5,(BSSA14_Coeffs!$B5*$A$18+BSSA14_Coeffs!$C5*$A$33+BSSA14_Coeffs!$D5*$A$24+BSSA14_Coeffs!$E5*$A$21+BSSA14_Coeffs!$F5*($A$6-BSSA14_Coeffs!$I5)+BSSA14_Coeffs!$G5*($A$6-BSSA14_Coeffs!I5)^2),(BSSA14_Coeffs!$B5*$A$18+BSSA14_Coeffs!$C5*$A$33+BSSA14_Coeffs!$D5*$A$24+BSSA14_Coeffs!$E5*$A$21+BSSA14_Coeffs!$H5*($A$6-BSSA14_Coeffs!$I5)))</f>
        <v>4.5196031999999997</v>
      </c>
      <c r="F6" s="7">
        <f>IF($A$30=0,((BSSA14_Coeffs!$J5+BSSA14_Coeffs!$K5*($A$6-BSSA14_Coeffs!$M5))*LN(SQRT(BSSA14!$A$12^2+(BSSA14_Coeffs!$O5^2))/BSSA14_Coeffs!$N5)+(BSSA14_Coeffs!$L5+BSSA14_Coeffs!$P5)*(SQRT(BSSA14!$A$12^2+(BSSA14_Coeffs!$O5^2))-BSSA14_Coeffs!$N5)),IF($A$30=1,((BSSA14_Coeffs!$J5+BSSA14_Coeffs!$K5*($A$6-BSSA14_Coeffs!$M5))*LN(SQRT(BSSA14!$A$12^2+(BSSA14_Coeffs!$O5^2))/BSSA14_Coeffs!$N5)+(BSSA14_Coeffs!$L5+BSSA14_Coeffs!$Q5)*(SQRT(BSSA14!$A$12^2+(BSSA14_Coeffs!$O5^2))-BSSA14_Coeffs!$N5)),IF($A$30=3,((BSSA14_Coeffs!$J5+BSSA14_Coeffs!$K5*($A$6-BSSA14_Coeffs!$M5))*LN(SQRT(BSSA14!$A$12^2+(BSSA14_Coeffs!$O5^2))/BSSA14_Coeffs!$N5)+(BSSA14_Coeffs!$L5+BSSA14_Coeffs!$R5)*(SQRT(BSSA14!$A$12^2+(BSSA14_Coeffs!$O5^2))-BSSA14_Coeffs!$N5)), ((BSSA14_Coeffs!$J5+BSSA14_Coeffs!$K5*($A$6-BSSA14_Coeffs!$M5))*LN(SQRT(BSSA14!$A$12^2+(BSSA14_Coeffs!$O5^2))/BSSA14_Coeffs!$N5)+(BSSA14_Coeffs!$L5+BSSA14_Coeffs!$P5)*(SQRT(BSSA14!$A$12^2+(BSSA14_Coeffs!$O5^2))-BSSA14_Coeffs!$N5)))))</f>
        <v>-1.3435285223169986</v>
      </c>
      <c r="G6" s="7">
        <f>IF($A$15&lt;= BSSA14_Coeffs!$T5, BSSA14_Coeffs!$S5 * LN(BSSA14!$A$15/ 760),  BSSA14_Coeffs!$S5* LN(BSSA14_Coeffs!$T5/ 760))</f>
        <v>0.45109333438490451</v>
      </c>
      <c r="H6" s="7">
        <f>BSSA14_Coeffs!$V5 + (BSSA14_Coeffs!$X5 * ((EXP(BSSA14_Coeffs!$Y5* (MIN($A$15,760) - 360))) - EXP(BSSA14_Coeffs!$Y5* (760 - 360)))) * LN((BSSA14!$A$38 + BSSA14_Coeffs!$W5) / BSSA14_Coeffs!$W5)</f>
        <v>-0.18437850655830534</v>
      </c>
      <c r="I6" s="7">
        <f t="shared" ref="I6:I26" si="0"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9.7282058588576414E-2</v>
      </c>
      <c r="J6" s="7">
        <f>IF($D6 &lt; 0.65, 0, IF(AND($D6 &gt;= 0.65,$I6 &lt;= (BSSA14_Coeffs!$AA5/ BSSA14_Coeffs!$Z5)), BSSA14_Coeffs!$Z5* BSSA14!$I6, IF(AND($D6&gt;= 0.65,$I6 &gt; (BSSA14_Coeffs!$AA5 /BSSA14_Coeffs!$Z5)), BSSA14_Coeffs!$AA5)))</f>
        <v>0</v>
      </c>
      <c r="K6" s="7">
        <f>SUM(G6:H6,J6)</f>
        <v>0.26671482782659917</v>
      </c>
      <c r="L6" s="63">
        <f>EXP(SUM($E6,$F6,$K6,I6))</f>
        <v>34.469385873108102</v>
      </c>
      <c r="M6" s="9">
        <f>IF($A$6&lt;=4.5,BSSA14_Coeffs!$AJ5,IF(AND($A$6&gt;4.5,$A$6&lt;5.5),BSSA14_Coeffs!$AJ5+(BSSA14_Coeffs!$AK5-BSSA14_Coeffs!$AJ5)*(BSSA14!$A$6-4.5),BSSA14_Coeffs!$AK5))</f>
        <v>0.34499999999999997</v>
      </c>
      <c r="N6" s="9">
        <f>IF($A$6&lt;=4.5,BSSA14_Coeffs!$AH5,IF(AND($A$6&gt;4.5,$A$6&lt;5.5),BSSA14_Coeffs!$AH5+(BSSA14_Coeffs!$AI5-BSSA14_Coeffs!$AH5)*(BSSA14!$A$6-4.5),BSSA14_Coeffs!$AI5))</f>
        <v>0.499</v>
      </c>
      <c r="O6" s="9">
        <f>IF($A$12&lt;=BSSA14_Coeffs!$AB5,BSSA14!$N6,IF(AND($A$12&gt;BSSA14_Coeffs!$AB5,$A$12&lt;=BSSA14_Coeffs!$AC5),$N6+BSSA14_Coeffs!$AD5*(LN($A$12/BSSA14_Coeffs!$AB5)/(LN(BSSA14_Coeffs!$AC5/BSSA14_Coeffs!$AB5))),$N6+BSSA14_Coeffs!$AD5))</f>
        <v>0.499</v>
      </c>
      <c r="P6" s="27">
        <f>IF($A$15&gt;=BSSA14_Coeffs!$AG5,$O6,IF(AND($A$15&gt;=BSSA14_Coeffs!$AF5,$A$15&lt;=BSSA14_Coeffs!$AG5),$O6-BSSA14_Coeffs!$AE5*(LN(BSSA14_Coeffs!$AG5/$A$15)/LN(BSSA14_Coeffs!$AG5/BSSA14_Coeffs!$AF5)),$O6-BSSA14_Coeffs!$AE5))</f>
        <v>0.499</v>
      </c>
      <c r="Q6" s="9">
        <f>SQRT($M6^2+$N6^2)</f>
        <v>0.60665146501100609</v>
      </c>
      <c r="R6" s="9">
        <f>SQRT($M6^2+$P6^2)</f>
        <v>0.60665146501100609</v>
      </c>
      <c r="S6" s="7">
        <f>BSSA_14($A$6,$A$12,$A$18,$A$21,$A$24,$A$15,$A$30,$A$27,$A$38,$D6)</f>
        <v>0.36183980436117963</v>
      </c>
      <c r="T6" s="7">
        <f>BSSA14_stdev($A$6,$A$12,$A$15,D6)</f>
        <v>0.60665146501100609</v>
      </c>
      <c r="U6" s="7"/>
    </row>
    <row r="7" spans="1:29" x14ac:dyDescent="0.45">
      <c r="A7" s="70"/>
      <c r="C7" s="393"/>
      <c r="D7" s="30">
        <v>0.02</v>
      </c>
      <c r="E7" s="7">
        <f>IF($A$6&lt;=BSSA14_Coeffs!$I6,(BSSA14_Coeffs!$B6*$A$18+BSSA14_Coeffs!$C6*$A$33+BSSA14_Coeffs!$D6*$A$24+BSSA14_Coeffs!$E6*$A$21+BSSA14_Coeffs!$F6*($A$6-BSSA14_Coeffs!$I6)+BSSA14_Coeffs!$G6*($A$6-BSSA14_Coeffs!I6)^2),(BSSA14_Coeffs!$B6*$A$18+BSSA14_Coeffs!$C6*$A$33+BSSA14_Coeffs!$D6*$A$24+BSSA14_Coeffs!$E6*$A$21+BSSA14_Coeffs!$H6*($A$6-BSSA14_Coeffs!$I6)))</f>
        <v>4.6105528799999993</v>
      </c>
      <c r="F7" s="7">
        <f>IF($A$30=0,((BSSA14_Coeffs!$J6+BSSA14_Coeffs!$K6*($A$6-BSSA14_Coeffs!$M6))*LN(SQRT(BSSA14!$A$12^2+(BSSA14_Coeffs!$O6^2))/BSSA14_Coeffs!$N6)+(BSSA14_Coeffs!$L6+BSSA14_Coeffs!$P6)*(SQRT(BSSA14!$A$12^2+(BSSA14_Coeffs!$O6^2))-BSSA14_Coeffs!$N6)),IF($A$30=1,((BSSA14_Coeffs!$J6+BSSA14_Coeffs!$K6*($A$6-BSSA14_Coeffs!$M6))*LN(SQRT(BSSA14!$A$12^2+(BSSA14_Coeffs!$O6^2))/BSSA14_Coeffs!$N6)+(BSSA14_Coeffs!$L6+BSSA14_Coeffs!$Q6)*(SQRT(BSSA14!$A$12^2+(BSSA14_Coeffs!$O6^2))-BSSA14_Coeffs!$N6)),IF($A$30=3,((BSSA14_Coeffs!$J6+BSSA14_Coeffs!$K6*($A$6-BSSA14_Coeffs!$M6))*LN(SQRT(BSSA14!$A$12^2+(BSSA14_Coeffs!$O6^2))/BSSA14_Coeffs!$N6)+(BSSA14_Coeffs!$L6+BSSA14_Coeffs!$R6)*(SQRT(BSSA14!$A$12^2+(BSSA14_Coeffs!$O6^2))-BSSA14_Coeffs!$N6)), ((BSSA14_Coeffs!$J6+BSSA14_Coeffs!$K6*($A$6-BSSA14_Coeffs!$M6))*LN(SQRT(BSSA14!$A$12^2+(BSSA14_Coeffs!$O6^2))/BSSA14_Coeffs!$N6)+(BSSA14_Coeffs!$L6+BSSA14_Coeffs!$P6)*(SQRT(BSSA14!$A$12^2+(BSSA14_Coeffs!$O6^2))-BSSA14_Coeffs!$N6)))))</f>
        <v>-1.3778496358571886</v>
      </c>
      <c r="G7" s="7">
        <f>IF($A$15&lt;= BSSA14_Coeffs!$T6, BSSA14_Coeffs!$S6 * LN(BSSA14!$A$15/ 760),  BSSA14_Coeffs!$S6* LN(BSSA14_Coeffs!$T6/ 760))</f>
        <v>0.42882634521036389</v>
      </c>
      <c r="H7" s="7">
        <f>BSSA14_Coeffs!$V6 + (BSSA14_Coeffs!$X6 * ((EXP(BSSA14_Coeffs!$Y6* (MIN($A$15,760) - 360))) - EXP(BSSA14_Coeffs!$Y6* (760 - 360)))) * LN((BSSA14!$A$38 + BSSA14_Coeffs!$W6) / BSSA14_Coeffs!$W6)</f>
        <v>-0.18405642014217455</v>
      </c>
      <c r="I7" s="7">
        <f t="shared" si="0"/>
        <v>9.7282058588576414E-2</v>
      </c>
      <c r="J7" s="7">
        <f>IF($D7 &lt; 0.65, 0, IF(AND($D7 &gt;= 0.65,$I7 &lt;= (BSSA14_Coeffs!$AA6/ BSSA14_Coeffs!$Z6)), BSSA14_Coeffs!$Z6* BSSA14!$I7, IF(AND($D7&gt;= 0.65,$I7 &gt; (BSSA14_Coeffs!$AA6 /BSSA14_Coeffs!$Z6)), BSSA14_Coeffs!$AA6)))</f>
        <v>0</v>
      </c>
      <c r="K7" s="7">
        <f t="shared" ref="K7:K26" si="1">SUM(G7:H7,J7)</f>
        <v>0.24476992506818934</v>
      </c>
      <c r="L7" s="63">
        <f t="shared" ref="L7:L26" si="2">EXP(SUM($E7,$F7,$K7,I7))</f>
        <v>35.685884833981895</v>
      </c>
      <c r="M7" s="9">
        <f>IF($A$6&lt;=4.5,BSSA14_Coeffs!$AJ6,IF(AND($A$6&gt;4.5,$A$6&lt;5.5),BSSA14_Coeffs!$AJ6+(BSSA14_Coeffs!$AK6-BSSA14_Coeffs!$AJ6)*(BSSA14!$A$6-4.5),BSSA14_Coeffs!$AK6))</f>
        <v>0.34599999999999997</v>
      </c>
      <c r="N7" s="9">
        <f>IF($A$6&lt;=4.5,BSSA14_Coeffs!$AH6,IF(AND($A$6&gt;4.5,$A$6&lt;5.5),BSSA14_Coeffs!$AH6+(BSSA14_Coeffs!$AI6-BSSA14_Coeffs!$AH6)*(BSSA14!$A$6-4.5),BSSA14_Coeffs!$AI6))</f>
        <v>0.502</v>
      </c>
      <c r="O7" s="9">
        <f>IF($A$12&lt;=BSSA14_Coeffs!$AB6,BSSA14!$N7,IF(AND($A$12&gt;BSSA14_Coeffs!$AB6,$A$12&lt;=BSSA14_Coeffs!$AC6),$N7+BSSA14_Coeffs!$AD6*(LN($A$12/BSSA14_Coeffs!$AB6)/(LN(BSSA14_Coeffs!$AC6/BSSA14_Coeffs!$AB6))),$N7+BSSA14_Coeffs!$AD6))</f>
        <v>0.502</v>
      </c>
      <c r="P7" s="27">
        <f>IF($A$15&gt;=BSSA14_Coeffs!$AG6,$O7,IF(AND($A$15&gt;=BSSA14_Coeffs!$AF6,$A$15&lt;=BSSA14_Coeffs!$AG6),$O7-BSSA14_Coeffs!$AE6*(LN(BSSA14_Coeffs!$AG6/$A$15)/LN(BSSA14_Coeffs!$AG6/BSSA14_Coeffs!$AF6)),$O7-BSSA14_Coeffs!$AE6))</f>
        <v>0.502</v>
      </c>
      <c r="Q7" s="9">
        <f t="shared" ref="Q7:Q26" si="3">SQRT($M7^2+$N7^2)</f>
        <v>0.60968844502745823</v>
      </c>
      <c r="R7" s="9">
        <f t="shared" ref="R7:R26" si="4">SQRT($M7^2+$P7^2)</f>
        <v>0.60968844502745823</v>
      </c>
      <c r="S7" s="7">
        <f t="shared" ref="S7:S26" si="5">BSSA_14($A$6,$A$12,$A$18,$A$21,$A$24,$A$15,$A$30,$A$27,$A$38,$D7)</f>
        <v>0.35342792263893102</v>
      </c>
      <c r="T7" s="7">
        <f t="shared" ref="T7:T26" si="6">BSSA14_stdev($A$6,$A$12,$A$15,D7)</f>
        <v>0.60968844502745823</v>
      </c>
      <c r="U7" s="7"/>
    </row>
    <row r="8" spans="1:29" ht="15" x14ac:dyDescent="0.45">
      <c r="A8" s="46" t="s">
        <v>191</v>
      </c>
      <c r="C8" s="393"/>
      <c r="D8" s="30">
        <v>0.03</v>
      </c>
      <c r="E8" s="7">
        <f>IF($A$6&lt;=BSSA14_Coeffs!$I7,(BSSA14_Coeffs!$B7*$A$18+BSSA14_Coeffs!$C7*$A$33+BSSA14_Coeffs!$D7*$A$24+BSSA14_Coeffs!$E7*$A$21+BSSA14_Coeffs!$F7*($A$6-BSSA14_Coeffs!$I7)+BSSA14_Coeffs!$G7*($A$6-BSSA14_Coeffs!I7)^2),(BSSA14_Coeffs!$B7*$A$18+BSSA14_Coeffs!$C7*$A$33+BSSA14_Coeffs!$D7*$A$24+BSSA14_Coeffs!$E7*$A$21+BSSA14_Coeffs!$H7*($A$6-BSSA14_Coeffs!$I7)))</f>
        <v>4.7324214399999995</v>
      </c>
      <c r="F8" s="7">
        <f>IF($A$30=0,((BSSA14_Coeffs!$J7+BSSA14_Coeffs!$K7*($A$6-BSSA14_Coeffs!$M7))*LN(SQRT(BSSA14!$A$12^2+(BSSA14_Coeffs!$O7^2))/BSSA14_Coeffs!$N7)+(BSSA14_Coeffs!$L7+BSSA14_Coeffs!$P7)*(SQRT(BSSA14!$A$12^2+(BSSA14_Coeffs!$O7^2))-BSSA14_Coeffs!$N7)),IF($A$30=1,((BSSA14_Coeffs!$J7+BSSA14_Coeffs!$K7*($A$6-BSSA14_Coeffs!$M7))*LN(SQRT(BSSA14!$A$12^2+(BSSA14_Coeffs!$O7^2))/BSSA14_Coeffs!$N7)+(BSSA14_Coeffs!$L7+BSSA14_Coeffs!$Q7)*(SQRT(BSSA14!$A$12^2+(BSSA14_Coeffs!$O7^2))-BSSA14_Coeffs!$N7)),IF($A$30=3,((BSSA14_Coeffs!$J7+BSSA14_Coeffs!$K7*($A$6-BSSA14_Coeffs!$M7))*LN(SQRT(BSSA14!$A$12^2+(BSSA14_Coeffs!$O7^2))/BSSA14_Coeffs!$N7)+(BSSA14_Coeffs!$L7+BSSA14_Coeffs!$R7)*(SQRT(BSSA14!$A$12^2+(BSSA14_Coeffs!$O7^2))-BSSA14_Coeffs!$N7)), ((BSSA14_Coeffs!$J7+BSSA14_Coeffs!$K7*($A$6-BSSA14_Coeffs!$M7))*LN(SQRT(BSSA14!$A$12^2+(BSSA14_Coeffs!$O7^2))/BSSA14_Coeffs!$N7)+(BSSA14_Coeffs!$L7+BSSA14_Coeffs!$P7)*(SQRT(BSSA14!$A$12^2+(BSSA14_Coeffs!$O7^2))-BSSA14_Coeffs!$N7)))))</f>
        <v>-1.4009500194088047</v>
      </c>
      <c r="G8" s="7">
        <f>IF($A$15&lt;= BSSA14_Coeffs!$T7, BSSA14_Coeffs!$S7 * LN(BSSA14!$A$15/ 760),  BSSA14_Coeffs!$S7* LN(BSSA14_Coeffs!$T7/ 760))</f>
        <v>0.39908721201752112</v>
      </c>
      <c r="H8" s="7">
        <f>BSSA14_Coeffs!$V7 + (BSSA14_Coeffs!$X7 * ((EXP(BSSA14_Coeffs!$Y7* (MIN($A$15,760) - 360))) - EXP(BSSA14_Coeffs!$Y7* (760 - 360)))) * LN((BSSA14!$A$38 + BSSA14_Coeffs!$W7) / BSSA14_Coeffs!$W7)</f>
        <v>-0.19406105498446241</v>
      </c>
      <c r="I8" s="7">
        <f t="shared" si="0"/>
        <v>9.7282058588576414E-2</v>
      </c>
      <c r="J8" s="7">
        <f>IF($D8 &lt; 0.65, 0, IF(AND($D8 &gt;= 0.65,$I8 &lt;= (BSSA14_Coeffs!$AA7/ BSSA14_Coeffs!$Z7)), BSSA14_Coeffs!$Z7* BSSA14!$I8, IF(AND($D8&gt;= 0.65,$I8 &gt; (BSSA14_Coeffs!$AA7 /BSSA14_Coeffs!$Z7)), BSSA14_Coeffs!$AA7)))</f>
        <v>0</v>
      </c>
      <c r="K8" s="7">
        <f t="shared" si="1"/>
        <v>0.20502615703305871</v>
      </c>
      <c r="L8" s="63">
        <f t="shared" si="2"/>
        <v>37.855627060305444</v>
      </c>
      <c r="M8" s="9">
        <f>IF($A$6&lt;=4.5,BSSA14_Coeffs!$AJ7,IF(AND($A$6&gt;4.5,$A$6&lt;5.5),BSSA14_Coeffs!$AJ7+(BSSA14_Coeffs!$AK7-BSSA14_Coeffs!$AJ7)*(BSSA14!$A$6-4.5),BSSA14_Coeffs!$AK7))</f>
        <v>0.36399999999999999</v>
      </c>
      <c r="N8" s="9">
        <f>IF($A$6&lt;=4.5,BSSA14_Coeffs!$AH7,IF(AND($A$6&gt;4.5,$A$6&lt;5.5),BSSA14_Coeffs!$AH7+(BSSA14_Coeffs!$AI7-BSSA14_Coeffs!$AH7)*(BSSA14!$A$6-4.5),BSSA14_Coeffs!$AI7))</f>
        <v>0.51400000000000001</v>
      </c>
      <c r="O8" s="9">
        <f>IF($A$12&lt;=BSSA14_Coeffs!$AB7,BSSA14!$N8,IF(AND($A$12&gt;BSSA14_Coeffs!$AB7,$A$12&lt;=BSSA14_Coeffs!$AC7),$N8+BSSA14_Coeffs!$AD7*(LN($A$12/BSSA14_Coeffs!$AB7)/(LN(BSSA14_Coeffs!$AC7/BSSA14_Coeffs!$AB7))),$N8+BSSA14_Coeffs!$AD7))</f>
        <v>0.51400000000000001</v>
      </c>
      <c r="P8" s="27">
        <f>IF($A$15&gt;=BSSA14_Coeffs!$AG7,$O8,IF(AND($A$15&gt;=BSSA14_Coeffs!$AF7,$A$15&lt;=BSSA14_Coeffs!$AG7),$O8-BSSA14_Coeffs!$AE7*(LN(BSSA14_Coeffs!$AG7/$A$15)/LN(BSSA14_Coeffs!$AG7/BSSA14_Coeffs!$AF7)),$O8-BSSA14_Coeffs!$AE7))</f>
        <v>0.51400000000000001</v>
      </c>
      <c r="Q8" s="9">
        <f t="shared" si="3"/>
        <v>0.62983489900131762</v>
      </c>
      <c r="R8" s="9">
        <f t="shared" si="4"/>
        <v>0.62983489900131762</v>
      </c>
      <c r="S8" s="7">
        <f t="shared" si="5"/>
        <v>0.36035563420131728</v>
      </c>
      <c r="T8" s="7">
        <f t="shared" si="6"/>
        <v>0.62983489900131762</v>
      </c>
      <c r="U8" s="7"/>
    </row>
    <row r="9" spans="1:29" x14ac:dyDescent="0.45">
      <c r="A9" s="60">
        <f>Main!$B$27</f>
        <v>15.08</v>
      </c>
      <c r="C9" s="393"/>
      <c r="D9" s="30">
        <v>0.05</v>
      </c>
      <c r="E9" s="7">
        <f>IF($A$6&lt;=BSSA14_Coeffs!$I8,(BSSA14_Coeffs!$B8*$A$18+BSSA14_Coeffs!$C8*$A$33+BSSA14_Coeffs!$D8*$A$24+BSSA14_Coeffs!$E8*$A$21+BSSA14_Coeffs!$F8*($A$6-BSSA14_Coeffs!$I8)+BSSA14_Coeffs!$G8*($A$6-BSSA14_Coeffs!I8)^2),(BSSA14_Coeffs!$B8*$A$18+BSSA14_Coeffs!$C8*$A$33+BSSA14_Coeffs!$D8*$A$24+BSSA14_Coeffs!$E8*$A$21+BSSA14_Coeffs!$H8*($A$6-BSSA14_Coeffs!$I8)))</f>
        <v>4.8876233199999994</v>
      </c>
      <c r="F9" s="7">
        <f>IF($A$30=0,((BSSA14_Coeffs!$J8+BSSA14_Coeffs!$K8*($A$6-BSSA14_Coeffs!$M8))*LN(SQRT(BSSA14!$A$12^2+(BSSA14_Coeffs!$O8^2))/BSSA14_Coeffs!$N8)+(BSSA14_Coeffs!$L8+BSSA14_Coeffs!$P8)*(SQRT(BSSA14!$A$12^2+(BSSA14_Coeffs!$O8^2))-BSSA14_Coeffs!$N8)),IF($A$30=1,((BSSA14_Coeffs!$J8+BSSA14_Coeffs!$K8*($A$6-BSSA14_Coeffs!$M8))*LN(SQRT(BSSA14!$A$12^2+(BSSA14_Coeffs!$O8^2))/BSSA14_Coeffs!$N8)+(BSSA14_Coeffs!$L8+BSSA14_Coeffs!$Q8)*(SQRT(BSSA14!$A$12^2+(BSSA14_Coeffs!$O8^2))-BSSA14_Coeffs!$N8)),IF($A$30=3,((BSSA14_Coeffs!$J8+BSSA14_Coeffs!$K8*($A$6-BSSA14_Coeffs!$M8))*LN(SQRT(BSSA14!$A$12^2+(BSSA14_Coeffs!$O8^2))/BSSA14_Coeffs!$N8)+(BSSA14_Coeffs!$L8+BSSA14_Coeffs!$R8)*(SQRT(BSSA14!$A$12^2+(BSSA14_Coeffs!$O8^2))-BSSA14_Coeffs!$N8)), ((BSSA14_Coeffs!$J8+BSSA14_Coeffs!$K8*($A$6-BSSA14_Coeffs!$M8))*LN(SQRT(BSSA14!$A$12^2+(BSSA14_Coeffs!$O8^2))/BSSA14_Coeffs!$N8)+(BSSA14_Coeffs!$L8+BSSA14_Coeffs!$P8)*(SQRT(BSSA14!$A$12^2+(BSSA14_Coeffs!$O8^2))-BSSA14_Coeffs!$N8)))))</f>
        <v>-1.360741400674236</v>
      </c>
      <c r="G9" s="7">
        <f>IF($A$15&lt;= BSSA14_Coeffs!$T8, BSSA14_Coeffs!$S8 * LN(BSSA14!$A$15/ 760),  BSSA14_Coeffs!$S8* LN(BSSA14_Coeffs!$T8/ 760))</f>
        <v>0.34222419603824128</v>
      </c>
      <c r="H9" s="7">
        <f>BSSA14_Coeffs!$V8 + (BSSA14_Coeffs!$X8 * ((EXP(BSSA14_Coeffs!$Y8* (MIN($A$15,760) - 360))) - EXP(BSSA14_Coeffs!$Y8* (760 - 360)))) * LN((BSSA14!$A$38 + BSSA14_Coeffs!$W8) / BSSA14_Coeffs!$W8)</f>
        <v>-0.23495173506232264</v>
      </c>
      <c r="I9" s="7">
        <f t="shared" si="0"/>
        <v>9.7282058588576414E-2</v>
      </c>
      <c r="J9" s="7">
        <f>IF($D9 &lt; 0.65, 0, IF(AND($D9 &gt;= 0.65,$I9 &lt;= (BSSA14_Coeffs!$AA8/ BSSA14_Coeffs!$Z8)), BSSA14_Coeffs!$Z8* BSSA14!$I9, IF(AND($D9&gt;= 0.65,$I9 &gt; (BSSA14_Coeffs!$AA8 /BSSA14_Coeffs!$Z8)), BSSA14_Coeffs!$AA8)))</f>
        <v>0</v>
      </c>
      <c r="K9" s="7">
        <f t="shared" si="1"/>
        <v>0.10727246097591864</v>
      </c>
      <c r="L9" s="63">
        <f t="shared" si="2"/>
        <v>41.739020675936729</v>
      </c>
      <c r="M9" s="9">
        <f>IF($A$6&lt;=4.5,BSSA14_Coeffs!$AJ8,IF(AND($A$6&gt;4.5,$A$6&lt;5.5),BSSA14_Coeffs!$AJ8+(BSSA14_Coeffs!$AK8-BSSA14_Coeffs!$AJ8)*(BSSA14!$A$6-4.5),BSSA14_Coeffs!$AK8))</f>
        <v>0.42599999999999999</v>
      </c>
      <c r="N9" s="9">
        <f>IF($A$6&lt;=4.5,BSSA14_Coeffs!$AH8,IF(AND($A$6&gt;4.5,$A$6&lt;5.5),BSSA14_Coeffs!$AH8+(BSSA14_Coeffs!$AI8-BSSA14_Coeffs!$AH8)*(BSSA14!$A$6-4.5),BSSA14_Coeffs!$AI8))</f>
        <v>0.53200000000000003</v>
      </c>
      <c r="O9" s="9">
        <f>IF($A$12&lt;=BSSA14_Coeffs!$AB8,BSSA14!$N9,IF(AND($A$12&gt;BSSA14_Coeffs!$AB8,$A$12&lt;=BSSA14_Coeffs!$AC8),$N9+BSSA14_Coeffs!$AD8*(LN($A$12/BSSA14_Coeffs!$AB8)/(LN(BSSA14_Coeffs!$AC8/BSSA14_Coeffs!$AB8))),$N9+BSSA14_Coeffs!$AD8))</f>
        <v>0.53200000000000003</v>
      </c>
      <c r="P9" s="27">
        <f>IF($A$15&gt;=BSSA14_Coeffs!$AG8,$O9,IF(AND($A$15&gt;=BSSA14_Coeffs!$AF8,$A$15&lt;=BSSA14_Coeffs!$AG8),$O9-BSSA14_Coeffs!$AE8*(LN(BSSA14_Coeffs!$AG8/$A$15)/LN(BSSA14_Coeffs!$AG8/BSSA14_Coeffs!$AF8)),$O9-BSSA14_Coeffs!$AE8))</f>
        <v>0.53200000000000003</v>
      </c>
      <c r="Q9" s="9">
        <f t="shared" si="3"/>
        <v>0.6815423684555495</v>
      </c>
      <c r="R9" s="9">
        <f t="shared" si="4"/>
        <v>0.6815423684555495</v>
      </c>
      <c r="S9" s="7">
        <f t="shared" si="5"/>
        <v>0.39670952558095696</v>
      </c>
      <c r="T9" s="7">
        <f t="shared" si="6"/>
        <v>0.6815423684555495</v>
      </c>
      <c r="U9" s="7"/>
    </row>
    <row r="10" spans="1:29" x14ac:dyDescent="0.45">
      <c r="A10" s="70"/>
      <c r="C10" s="393"/>
      <c r="D10" s="30">
        <v>7.4999999999999997E-2</v>
      </c>
      <c r="E10" s="7">
        <f>IF($A$6&lt;=BSSA14_Coeffs!$I9,(BSSA14_Coeffs!$B9*$A$18+BSSA14_Coeffs!$C9*$A$33+BSSA14_Coeffs!$D9*$A$24+BSSA14_Coeffs!$E9*$A$21+BSSA14_Coeffs!$F9*($A$6-BSSA14_Coeffs!$I9)+BSSA14_Coeffs!$G9*($A$6-BSSA14_Coeffs!I9)^2),(BSSA14_Coeffs!$B9*$A$18+BSSA14_Coeffs!$C9*$A$33+BSSA14_Coeffs!$D9*$A$24+BSSA14_Coeffs!$E9*$A$21+BSSA14_Coeffs!$H9*($A$6-BSSA14_Coeffs!$I9)))</f>
        <v>5.1901312399999995</v>
      </c>
      <c r="F10" s="7">
        <f>IF($A$30=0,((BSSA14_Coeffs!$J9+BSSA14_Coeffs!$K9*($A$6-BSSA14_Coeffs!$M9))*LN(SQRT(BSSA14!$A$12^2+(BSSA14_Coeffs!$O9^2))/BSSA14_Coeffs!$N9)+(BSSA14_Coeffs!$L9+BSSA14_Coeffs!$P9)*(SQRT(BSSA14!$A$12^2+(BSSA14_Coeffs!$O9^2))-BSSA14_Coeffs!$N9)),IF($A$30=1,((BSSA14_Coeffs!$J9+BSSA14_Coeffs!$K9*($A$6-BSSA14_Coeffs!$M9))*LN(SQRT(BSSA14!$A$12^2+(BSSA14_Coeffs!$O9^2))/BSSA14_Coeffs!$N9)+(BSSA14_Coeffs!$L9+BSSA14_Coeffs!$Q9)*(SQRT(BSSA14!$A$12^2+(BSSA14_Coeffs!$O9^2))-BSSA14_Coeffs!$N9)),IF($A$30=3,((BSSA14_Coeffs!$J9+BSSA14_Coeffs!$K9*($A$6-BSSA14_Coeffs!$M9))*LN(SQRT(BSSA14!$A$12^2+(BSSA14_Coeffs!$O9^2))/BSSA14_Coeffs!$N9)+(BSSA14_Coeffs!$L9+BSSA14_Coeffs!$R9)*(SQRT(BSSA14!$A$12^2+(BSSA14_Coeffs!$O9^2))-BSSA14_Coeffs!$N9)), ((BSSA14_Coeffs!$J9+BSSA14_Coeffs!$K9*($A$6-BSSA14_Coeffs!$M9))*LN(SQRT(BSSA14!$A$12^2+(BSSA14_Coeffs!$O9^2))/BSSA14_Coeffs!$N9)+(BSSA14_Coeffs!$L9+BSSA14_Coeffs!$P9)*(SQRT(BSSA14!$A$12^2+(BSSA14_Coeffs!$O9^2))-BSSA14_Coeffs!$N9)))))</f>
        <v>-1.3280000259493077</v>
      </c>
      <c r="G10" s="7">
        <f>IF($A$15&lt;= BSSA14_Coeffs!$T9, BSSA14_Coeffs!$S9 * LN(BSSA14!$A$15/ 760),  BSSA14_Coeffs!$S9* LN(BSSA14_Coeffs!$T9/ 760))</f>
        <v>0.3318379158528012</v>
      </c>
      <c r="H10" s="7">
        <f>BSSA14_Coeffs!$V9 + (BSSA14_Coeffs!$X9 * ((EXP(BSSA14_Coeffs!$Y9* (MIN($A$15,760) - 360))) - EXP(BSSA14_Coeffs!$Y9* (760 - 360)))) * LN((BSSA14!$A$38 + BSSA14_Coeffs!$W9) / BSSA14_Coeffs!$W9)</f>
        <v>-0.27951955665008721</v>
      </c>
      <c r="I10" s="7">
        <f t="shared" si="0"/>
        <v>9.7282058588576414E-2</v>
      </c>
      <c r="J10" s="7">
        <f>IF($D10 &lt; 0.65, 0, IF(AND($D10 &gt;= 0.65,$I10 &lt;= (BSSA14_Coeffs!$AA9/ BSSA14_Coeffs!$Z9)), BSSA14_Coeffs!$Z9* BSSA14!$I10, IF(AND($D10&gt;= 0.65,$I10 &gt; (BSSA14_Coeffs!$AA9 /BSSA14_Coeffs!$Z9)), BSSA14_Coeffs!$AA9)))</f>
        <v>0</v>
      </c>
      <c r="K10" s="7">
        <f t="shared" si="1"/>
        <v>5.2318359202713993E-2</v>
      </c>
      <c r="L10" s="63">
        <f t="shared" si="2"/>
        <v>55.242447368554025</v>
      </c>
      <c r="M10" s="9">
        <f>IF($A$6&lt;=4.5,BSSA14_Coeffs!$AJ9,IF(AND($A$6&gt;4.5,$A$6&lt;5.5),BSSA14_Coeffs!$AJ9+(BSSA14_Coeffs!$AK9-BSSA14_Coeffs!$AJ9)*(BSSA14!$A$6-4.5),BSSA14_Coeffs!$AK9))</f>
        <v>0.46600000000000003</v>
      </c>
      <c r="N10" s="9">
        <f>IF($A$6&lt;=4.5,BSSA14_Coeffs!$AH9,IF(AND($A$6&gt;4.5,$A$6&lt;5.5),BSSA14_Coeffs!$AH9+(BSSA14_Coeffs!$AI9-BSSA14_Coeffs!$AH9)*(BSSA14!$A$6-4.5),BSSA14_Coeffs!$AI9))</f>
        <v>0.54200000000000004</v>
      </c>
      <c r="O10" s="9">
        <f>IF($A$12&lt;=BSSA14_Coeffs!$AB9,BSSA14!$N10,IF(AND($A$12&gt;BSSA14_Coeffs!$AB9,$A$12&lt;=BSSA14_Coeffs!$AC9),$N10+BSSA14_Coeffs!$AD9*(LN($A$12/BSSA14_Coeffs!$AB9)/(LN(BSSA14_Coeffs!$AC9/BSSA14_Coeffs!$AB9))),$N10+BSSA14_Coeffs!$AD9))</f>
        <v>0.54200000000000004</v>
      </c>
      <c r="P10" s="27">
        <f>IF($A$15&gt;=BSSA14_Coeffs!$AG9,$O10,IF(AND($A$15&gt;=BSSA14_Coeffs!$AF9,$A$15&lt;=BSSA14_Coeffs!$AG9),$O10-BSSA14_Coeffs!$AE9*(LN(BSSA14_Coeffs!$AG9/$A$15)/LN(BSSA14_Coeffs!$AG9/BSSA14_Coeffs!$AF9)),$O10-BSSA14_Coeffs!$AE9))</f>
        <v>0.54200000000000004</v>
      </c>
      <c r="Q10" s="9">
        <f t="shared" si="3"/>
        <v>0.71478668146517677</v>
      </c>
      <c r="R10" s="9">
        <f t="shared" si="4"/>
        <v>0.71478668146517677</v>
      </c>
      <c r="S10" s="7">
        <f t="shared" si="5"/>
        <v>0.45874000526150649</v>
      </c>
      <c r="T10" s="7">
        <f t="shared" si="6"/>
        <v>0.71478668146517677</v>
      </c>
      <c r="U10" s="7"/>
    </row>
    <row r="11" spans="1:29" ht="15" x14ac:dyDescent="0.45">
      <c r="A11" s="46" t="s">
        <v>192</v>
      </c>
      <c r="C11" s="393"/>
      <c r="D11" s="11">
        <v>0.1</v>
      </c>
      <c r="E11" s="7">
        <f>IF($A$6&lt;=BSSA14_Coeffs!$I10,(BSSA14_Coeffs!$B10*$A$18+BSSA14_Coeffs!$C10*$A$33+BSSA14_Coeffs!$D10*$A$24+BSSA14_Coeffs!$E10*$A$21+BSSA14_Coeffs!$F10*($A$6-BSSA14_Coeffs!$I10)+BSSA14_Coeffs!$G10*($A$6-BSSA14_Coeffs!I10)^2),(BSSA14_Coeffs!$B10*$A$18+BSSA14_Coeffs!$C10*$A$33+BSSA14_Coeffs!$D10*$A$24+BSSA14_Coeffs!$E10*$A$21+BSSA14_Coeffs!$H10*($A$6-BSSA14_Coeffs!$I10)))</f>
        <v>5.1878698816000002</v>
      </c>
      <c r="F11" s="7">
        <f>IF($A$30=0,((BSSA14_Coeffs!$J10+BSSA14_Coeffs!$K10*($A$6-BSSA14_Coeffs!$M10))*LN(SQRT(BSSA14!$A$12^2+(BSSA14_Coeffs!$O10^2))/BSSA14_Coeffs!$N10)+(BSSA14_Coeffs!$L10+BSSA14_Coeffs!$P10)*(SQRT(BSSA14!$A$12^2+(BSSA14_Coeffs!$O10^2))-BSSA14_Coeffs!$N10)),IF($A$30=1,((BSSA14_Coeffs!$J10+BSSA14_Coeffs!$K10*($A$6-BSSA14_Coeffs!$M10))*LN(SQRT(BSSA14!$A$12^2+(BSSA14_Coeffs!$O10^2))/BSSA14_Coeffs!$N10)+(BSSA14_Coeffs!$L10+BSSA14_Coeffs!$Q10)*(SQRT(BSSA14!$A$12^2+(BSSA14_Coeffs!$O10^2))-BSSA14_Coeffs!$N10)),IF($A$30=3,((BSSA14_Coeffs!$J10+BSSA14_Coeffs!$K10*($A$6-BSSA14_Coeffs!$M10))*LN(SQRT(BSSA14!$A$12^2+(BSSA14_Coeffs!$O10^2))/BSSA14_Coeffs!$N10)+(BSSA14_Coeffs!$L10+BSSA14_Coeffs!$R10)*(SQRT(BSSA14!$A$12^2+(BSSA14_Coeffs!$O10^2))-BSSA14_Coeffs!$N10)), ((BSSA14_Coeffs!$J10+BSSA14_Coeffs!$K10*($A$6-BSSA14_Coeffs!$M10))*LN(SQRT(BSSA14!$A$12^2+(BSSA14_Coeffs!$O10^2))/BSSA14_Coeffs!$N10)+(BSSA14_Coeffs!$L10+BSSA14_Coeffs!$P10)*(SQRT(BSSA14!$A$12^2+(BSSA14_Coeffs!$O10^2))-BSSA14_Coeffs!$N10)))))</f>
        <v>-1.3752748753962765</v>
      </c>
      <c r="G11" s="7">
        <f>IF($A$15&lt;= BSSA14_Coeffs!$T10, BSSA14_Coeffs!$S10 * LN(BSSA14!$A$15/ 760),  BSSA14_Coeffs!$S10* LN(BSSA14_Coeffs!$T10/ 760))</f>
        <v>0.36404285657168378</v>
      </c>
      <c r="H11" s="7">
        <f>BSSA14_Coeffs!$V10 + (BSSA14_Coeffs!$X10 * ((EXP(BSSA14_Coeffs!$Y10* (MIN($A$15,760) - 360))) - EXP(BSSA14_Coeffs!$Y10* (760 - 360)))) * LN((BSSA14!$A$38 + BSSA14_Coeffs!$W10) / BSSA14_Coeffs!$W10)</f>
        <v>-0.2945836743187788</v>
      </c>
      <c r="I11" s="7">
        <f t="shared" si="0"/>
        <v>9.7282058588576414E-2</v>
      </c>
      <c r="J11" s="7">
        <f>IF($D11 &lt; 0.65, 0, IF(AND($D11 &gt;= 0.65,$I11 &lt;= (BSSA14_Coeffs!$AA10/ BSSA14_Coeffs!$Z10)), BSSA14_Coeffs!$Z10* BSSA14!$I11, IF(AND($D11&gt;= 0.65,$I11 &gt; (BSSA14_Coeffs!$AA10 /BSSA14_Coeffs!$Z10)), BSSA14_Coeffs!$AA10)))</f>
        <v>0</v>
      </c>
      <c r="K11" s="7">
        <f t="shared" si="1"/>
        <v>6.9459182252904983E-2</v>
      </c>
      <c r="L11" s="63">
        <f t="shared" si="2"/>
        <v>53.481523924228888</v>
      </c>
      <c r="M11" s="9">
        <f>IF($A$6&lt;=4.5,BSSA14_Coeffs!$AJ10,IF(AND($A$6&gt;4.5,$A$6&lt;5.5),BSSA14_Coeffs!$AJ10+(BSSA14_Coeffs!$AK10-BSSA14_Coeffs!$AJ10)*(BSSA14!$A$6-4.5),BSSA14_Coeffs!$AK10))</f>
        <v>0.45800000000000002</v>
      </c>
      <c r="N11" s="9">
        <f>IF($A$6&lt;=4.5,BSSA14_Coeffs!$AH10,IF(AND($A$6&gt;4.5,$A$6&lt;5.5),BSSA14_Coeffs!$AH10+(BSSA14_Coeffs!$AI10-BSSA14_Coeffs!$AH10)*(BSSA14!$A$6-4.5),BSSA14_Coeffs!$AI10))</f>
        <v>0.54100000000000004</v>
      </c>
      <c r="O11" s="9">
        <f>IF($A$12&lt;=BSSA14_Coeffs!$AB10,BSSA14!$N11,IF(AND($A$12&gt;BSSA14_Coeffs!$AB10,$A$12&lt;=BSSA14_Coeffs!$AC10),$N11+BSSA14_Coeffs!$AD10*(LN($A$12/BSSA14_Coeffs!$AB10)/(LN(BSSA14_Coeffs!$AC10/BSSA14_Coeffs!$AB10))),$N11+BSSA14_Coeffs!$AD10))</f>
        <v>0.54100000000000004</v>
      </c>
      <c r="P11" s="27">
        <f>IF($A$15&gt;=BSSA14_Coeffs!$AG10,$O11,IF(AND($A$15&gt;=BSSA14_Coeffs!$AF10,$A$15&lt;=BSSA14_Coeffs!$AG10),$O11-BSSA14_Coeffs!$AE10*(LN(BSSA14_Coeffs!$AG10/$A$15)/LN(BSSA14_Coeffs!$AG10/BSSA14_Coeffs!$AF10)),$O11-BSSA14_Coeffs!$AE10))</f>
        <v>0.54100000000000004</v>
      </c>
      <c r="Q11" s="9">
        <f t="shared" si="3"/>
        <v>0.70883354886743333</v>
      </c>
      <c r="R11" s="9">
        <f t="shared" si="4"/>
        <v>0.70883354886743333</v>
      </c>
      <c r="S11" s="7">
        <f t="shared" si="5"/>
        <v>0.52373549997373703</v>
      </c>
      <c r="T11" s="7">
        <f t="shared" si="6"/>
        <v>0.70883354886743333</v>
      </c>
      <c r="U11" s="7"/>
    </row>
    <row r="12" spans="1:29" x14ac:dyDescent="0.45">
      <c r="A12" s="69">
        <f>Main!$B$30</f>
        <v>15.08</v>
      </c>
      <c r="B12" s="94" t="str">
        <f>IF(AND($A$12&gt;=0, $A$12&lt;=400),"","! Not Applicable !")</f>
        <v/>
      </c>
      <c r="C12" s="393"/>
      <c r="D12" s="11">
        <v>0.15</v>
      </c>
      <c r="E12" s="7">
        <f>IF($A$6&lt;=BSSA14_Coeffs!$I11,(BSSA14_Coeffs!$B11*$A$18+BSSA14_Coeffs!$C11*$A$33+BSSA14_Coeffs!$D11*$A$24+BSSA14_Coeffs!$E11*$A$21+BSSA14_Coeffs!$F11*($A$6-BSSA14_Coeffs!$I11)+BSSA14_Coeffs!$G11*($A$6-BSSA14_Coeffs!I11)^2),(BSSA14_Coeffs!$B11*$A$18+BSSA14_Coeffs!$C11*$A$33+BSSA14_Coeffs!$D11*$A$24+BSSA14_Coeffs!$E11*$A$21+BSSA14_Coeffs!$H11*($A$6-BSSA14_Coeffs!$I11)))</f>
        <v>4.1449987759999996</v>
      </c>
      <c r="F12" s="7">
        <f>IF($A$30=0,((BSSA14_Coeffs!$J11+BSSA14_Coeffs!$K11*($A$6-BSSA14_Coeffs!$M11))*LN(SQRT(BSSA14!$A$12^2+(BSSA14_Coeffs!$O11^2))/BSSA14_Coeffs!$N11)+(BSSA14_Coeffs!$L11+BSSA14_Coeffs!$P11)*(SQRT(BSSA14!$A$12^2+(BSSA14_Coeffs!$O11^2))-BSSA14_Coeffs!$N11)),IF($A$30=1,((BSSA14_Coeffs!$J11+BSSA14_Coeffs!$K11*($A$6-BSSA14_Coeffs!$M11))*LN(SQRT(BSSA14!$A$12^2+(BSSA14_Coeffs!$O11^2))/BSSA14_Coeffs!$N11)+(BSSA14_Coeffs!$L11+BSSA14_Coeffs!$Q11)*(SQRT(BSSA14!$A$12^2+(BSSA14_Coeffs!$O11^2))-BSSA14_Coeffs!$N11)),IF($A$30=3,((BSSA14_Coeffs!$J11+BSSA14_Coeffs!$K11*($A$6-BSSA14_Coeffs!$M11))*LN(SQRT(BSSA14!$A$12^2+(BSSA14_Coeffs!$O11^2))/BSSA14_Coeffs!$N11)+(BSSA14_Coeffs!$L11+BSSA14_Coeffs!$R11)*(SQRT(BSSA14!$A$12^2+(BSSA14_Coeffs!$O11^2))-BSSA14_Coeffs!$N11)), ((BSSA14_Coeffs!$J11+BSSA14_Coeffs!$K11*($A$6-BSSA14_Coeffs!$M11))*LN(SQRT(BSSA14!$A$12^2+(BSSA14_Coeffs!$O11^2))/BSSA14_Coeffs!$N11)+(BSSA14_Coeffs!$L11+BSSA14_Coeffs!$P11)*(SQRT(BSSA14!$A$12^2+(BSSA14_Coeffs!$O11^2))-BSSA14_Coeffs!$N11)))))</f>
        <v>-1.5056332505609222</v>
      </c>
      <c r="G12" s="7">
        <f>IF($A$15&lt;= BSSA14_Coeffs!$T11, BSSA14_Coeffs!$S11 * LN(BSSA14!$A$15/ 760),  BSSA14_Coeffs!$S11* LN(BSSA14_Coeffs!$T11/ 760))</f>
        <v>0.43308546730079617</v>
      </c>
      <c r="H12" s="7">
        <f>BSSA14_Coeffs!$V11 + (BSSA14_Coeffs!$X11 * ((EXP(BSSA14_Coeffs!$Y11* (MIN($A$15,760) - 360))) - EXP(BSSA14_Coeffs!$Y11* (760 - 360)))) * LN((BSSA14!$A$38 + BSSA14_Coeffs!$W11) / BSSA14_Coeffs!$W11)</f>
        <v>-0.3074534541285201</v>
      </c>
      <c r="I12" s="7">
        <f t="shared" si="0"/>
        <v>9.7282058588576414E-2</v>
      </c>
      <c r="J12" s="7">
        <f>IF($D12 &lt; 0.65, 0, IF(AND($D12 &gt;= 0.65,$I12 &lt;= (BSSA14_Coeffs!$AA11/ BSSA14_Coeffs!$Z11)), BSSA14_Coeffs!$Z11* BSSA14!$I12, IF(AND($D12&gt;= 0.65,$I12 &gt; (BSSA14_Coeffs!$AA11 /BSSA14_Coeffs!$Z11)), BSSA14_Coeffs!$AA11)))</f>
        <v>0</v>
      </c>
      <c r="K12" s="7">
        <f t="shared" si="1"/>
        <v>0.12563201317227607</v>
      </c>
      <c r="L12" s="63">
        <f t="shared" si="2"/>
        <v>17.501377588951698</v>
      </c>
      <c r="M12" s="9">
        <f>IF($A$6&lt;=4.5,BSSA14_Coeffs!$AJ11,IF(AND($A$6&gt;4.5,$A$6&lt;5.5),BSSA14_Coeffs!$AJ11+(BSSA14_Coeffs!$AK11-BSSA14_Coeffs!$AJ11)*(BSSA14!$A$6-4.5),BSSA14_Coeffs!$AK11))</f>
        <v>0.38800000000000001</v>
      </c>
      <c r="N12" s="9">
        <f>IF($A$6&lt;=4.5,BSSA14_Coeffs!$AH11,IF(AND($A$6&gt;4.5,$A$6&lt;5.5),BSSA14_Coeffs!$AH11+(BSSA14_Coeffs!$AI11-BSSA14_Coeffs!$AH11)*(BSSA14!$A$6-4.5),BSSA14_Coeffs!$AI11))</f>
        <v>0.53700000000000003</v>
      </c>
      <c r="O12" s="9">
        <f>IF($A$12&lt;=BSSA14_Coeffs!$AB11,BSSA14!$N12,IF(AND($A$12&gt;BSSA14_Coeffs!$AB11,$A$12&lt;=BSSA14_Coeffs!$AC11),$N12+BSSA14_Coeffs!$AD11*(LN($A$12/BSSA14_Coeffs!$AB11)/(LN(BSSA14_Coeffs!$AC11/BSSA14_Coeffs!$AB11))),$N12+BSSA14_Coeffs!$AD11))</f>
        <v>0.53700000000000003</v>
      </c>
      <c r="P12" s="27">
        <f>IF($A$15&gt;=BSSA14_Coeffs!$AG11,$O12,IF(AND($A$15&gt;=BSSA14_Coeffs!$AF11,$A$15&lt;=BSSA14_Coeffs!$AG11),$O12-BSSA14_Coeffs!$AE11*(LN(BSSA14_Coeffs!$AG11/$A$15)/LN(BSSA14_Coeffs!$AG11/BSSA14_Coeffs!$AF11)),$O12-BSSA14_Coeffs!$AE11))</f>
        <v>0.53700000000000003</v>
      </c>
      <c r="Q12" s="9">
        <f t="shared" si="3"/>
        <v>0.66250509432003624</v>
      </c>
      <c r="R12" s="9">
        <f t="shared" si="4"/>
        <v>0.66250509432003624</v>
      </c>
      <c r="S12" s="7">
        <f t="shared" si="5"/>
        <v>0.62988145914471305</v>
      </c>
      <c r="T12" s="7">
        <f t="shared" si="6"/>
        <v>0.66250509432003624</v>
      </c>
      <c r="U12" s="7"/>
    </row>
    <row r="13" spans="1:29" x14ac:dyDescent="0.45">
      <c r="A13" s="70"/>
      <c r="C13" s="393"/>
      <c r="D13" s="11">
        <v>0.2</v>
      </c>
      <c r="E13" s="7">
        <f>IF($A$6&lt;=BSSA14_Coeffs!$I12,(BSSA14_Coeffs!$B12*$A$18+BSSA14_Coeffs!$C12*$A$33+BSSA14_Coeffs!$D12*$A$24+BSSA14_Coeffs!$E12*$A$21+BSSA14_Coeffs!$F12*($A$6-BSSA14_Coeffs!$I12)+BSSA14_Coeffs!$G12*($A$6-BSSA14_Coeffs!I12)^2),(BSSA14_Coeffs!$B12*$A$18+BSSA14_Coeffs!$C12*$A$33+BSSA14_Coeffs!$D12*$A$24+BSSA14_Coeffs!$E12*$A$21+BSSA14_Coeffs!$H12*($A$6-BSSA14_Coeffs!$I12)))</f>
        <v>3.3057556959999999</v>
      </c>
      <c r="F13" s="7">
        <f>IF($A$30=0,((BSSA14_Coeffs!$J12+BSSA14_Coeffs!$K12*($A$6-BSSA14_Coeffs!$M12))*LN(SQRT(BSSA14!$A$12^2+(BSSA14_Coeffs!$O12^2))/BSSA14_Coeffs!$N12)+(BSSA14_Coeffs!$L12+BSSA14_Coeffs!$P12)*(SQRT(BSSA14!$A$12^2+(BSSA14_Coeffs!$O12^2))-BSSA14_Coeffs!$N12)),IF($A$30=1,((BSSA14_Coeffs!$J12+BSSA14_Coeffs!$K12*($A$6-BSSA14_Coeffs!$M12))*LN(SQRT(BSSA14!$A$12^2+(BSSA14_Coeffs!$O12^2))/BSSA14_Coeffs!$N12)+(BSSA14_Coeffs!$L12+BSSA14_Coeffs!$Q12)*(SQRT(BSSA14!$A$12^2+(BSSA14_Coeffs!$O12^2))-BSSA14_Coeffs!$N12)),IF($A$30=3,((BSSA14_Coeffs!$J12+BSSA14_Coeffs!$K12*($A$6-BSSA14_Coeffs!$M12))*LN(SQRT(BSSA14!$A$12^2+(BSSA14_Coeffs!$O12^2))/BSSA14_Coeffs!$N12)+(BSSA14_Coeffs!$L12+BSSA14_Coeffs!$R12)*(SQRT(BSSA14!$A$12^2+(BSSA14_Coeffs!$O12^2))-BSSA14_Coeffs!$N12)), ((BSSA14_Coeffs!$J12+BSSA14_Coeffs!$K12*($A$6-BSSA14_Coeffs!$M12))*LN(SQRT(BSSA14!$A$12^2+(BSSA14_Coeffs!$O12^2))/BSSA14_Coeffs!$N12)+(BSSA14_Coeffs!$L12+BSSA14_Coeffs!$P12)*(SQRT(BSSA14!$A$12^2+(BSSA14_Coeffs!$O12^2))-BSSA14_Coeffs!$N12)))))</f>
        <v>-1.600820131247632</v>
      </c>
      <c r="G13" s="7">
        <f>IF($A$15&lt;= BSSA14_Coeffs!$T12, BSSA14_Coeffs!$S12 * LN(BSSA14!$A$15/ 760),  BSSA14_Coeffs!$S12* LN(BSSA14_Coeffs!$T12/ 760))</f>
        <v>0.51378462269846004</v>
      </c>
      <c r="H13" s="7">
        <f>BSSA14_Coeffs!$V12 + (BSSA14_Coeffs!$X12 * ((EXP(BSSA14_Coeffs!$Y12* (MIN($A$15,760) - 360))) - EXP(BSSA14_Coeffs!$Y12* (760 - 360)))) * LN((BSSA14!$A$38 + BSSA14_Coeffs!$W12) / BSSA14_Coeffs!$W12)</f>
        <v>-0.29828089665707119</v>
      </c>
      <c r="I13" s="7">
        <f t="shared" si="0"/>
        <v>9.7282058588576414E-2</v>
      </c>
      <c r="J13" s="7">
        <f>IF($D13 &lt; 0.65, 0, IF(AND($D13 &gt;= 0.65,$I13 &lt;= (BSSA14_Coeffs!$AA12/ BSSA14_Coeffs!$Z12)), BSSA14_Coeffs!$Z12* BSSA14!$I13, IF(AND($D13&gt;= 0.65,$I13 &gt; (BSSA14_Coeffs!$AA12 /BSSA14_Coeffs!$Z12)), BSSA14_Coeffs!$AA12)))</f>
        <v>0</v>
      </c>
      <c r="K13" s="7">
        <f t="shared" si="1"/>
        <v>0.21550372604138884</v>
      </c>
      <c r="L13" s="63">
        <f t="shared" si="2"/>
        <v>7.5211672804680836</v>
      </c>
      <c r="M13" s="9">
        <f>IF($A$6&lt;=4.5,BSSA14_Coeffs!$AJ12,IF(AND($A$6&gt;4.5,$A$6&lt;5.5),BSSA14_Coeffs!$AJ12+(BSSA14_Coeffs!$AK12-BSSA14_Coeffs!$AJ12)*(BSSA14!$A$6-4.5),BSSA14_Coeffs!$AK12))</f>
        <v>0.309</v>
      </c>
      <c r="N13" s="9">
        <f>IF($A$6&lt;=4.5,BSSA14_Coeffs!$AH12,IF(AND($A$6&gt;4.5,$A$6&lt;5.5),BSSA14_Coeffs!$AH12+(BSSA14_Coeffs!$AI12-BSSA14_Coeffs!$AH12)*(BSSA14!$A$6-4.5),BSSA14_Coeffs!$AI12))</f>
        <v>0.53900000000000003</v>
      </c>
      <c r="O13" s="9">
        <f>IF($A$12&lt;=BSSA14_Coeffs!$AB12,BSSA14!$N13,IF(AND($A$12&gt;BSSA14_Coeffs!$AB12,$A$12&lt;=BSSA14_Coeffs!$AC12),$N13+BSSA14_Coeffs!$AD12*(LN($A$12/BSSA14_Coeffs!$AB12)/(LN(BSSA14_Coeffs!$AC12/BSSA14_Coeffs!$AB12))),$N13+BSSA14_Coeffs!$AD12))</f>
        <v>0.53900000000000003</v>
      </c>
      <c r="P13" s="27">
        <f>IF($A$15&gt;=BSSA14_Coeffs!$AG12,$O13,IF(AND($A$15&gt;=BSSA14_Coeffs!$AF12,$A$15&lt;=BSSA14_Coeffs!$AG12),$O13-BSSA14_Coeffs!$AE12*(LN(BSSA14_Coeffs!$AG12/$A$15)/LN(BSSA14_Coeffs!$AG12/BSSA14_Coeffs!$AF12)),$O13-BSSA14_Coeffs!$AE12))</f>
        <v>0.53900000000000003</v>
      </c>
      <c r="Q13" s="9">
        <f t="shared" si="3"/>
        <v>0.62129059223522776</v>
      </c>
      <c r="R13" s="9">
        <f t="shared" si="4"/>
        <v>0.62129059223522776</v>
      </c>
      <c r="S13" s="7">
        <f t="shared" si="5"/>
        <v>0.68943007207230567</v>
      </c>
      <c r="T13" s="7">
        <f t="shared" si="6"/>
        <v>0.62129059223522776</v>
      </c>
      <c r="U13" s="7"/>
    </row>
    <row r="14" spans="1:29" ht="15" x14ac:dyDescent="0.45">
      <c r="A14" s="46" t="s">
        <v>189</v>
      </c>
      <c r="C14" s="393"/>
      <c r="D14" s="11">
        <v>0.25</v>
      </c>
      <c r="E14" s="7">
        <f>IF($A$6&lt;=BSSA14_Coeffs!$I13,(BSSA14_Coeffs!$B13*$A$18+BSSA14_Coeffs!$C13*$A$33+BSSA14_Coeffs!$D13*$A$24+BSSA14_Coeffs!$E13*$A$21+BSSA14_Coeffs!$F13*($A$6-BSSA14_Coeffs!$I13)+BSSA14_Coeffs!$G13*($A$6-BSSA14_Coeffs!I13)^2),(BSSA14_Coeffs!$B13*$A$18+BSSA14_Coeffs!$C13*$A$33+BSSA14_Coeffs!$D13*$A$24+BSSA14_Coeffs!$E13*$A$21+BSSA14_Coeffs!$H13*($A$6-BSSA14_Coeffs!$I13)))</f>
        <v>2.7043786749999996</v>
      </c>
      <c r="F14" s="7">
        <f>IF($A$30=0,((BSSA14_Coeffs!$J13+BSSA14_Coeffs!$K13*($A$6-BSSA14_Coeffs!$M13))*LN(SQRT(BSSA14!$A$12^2+(BSSA14_Coeffs!$O13^2))/BSSA14_Coeffs!$N13)+(BSSA14_Coeffs!$L13+BSSA14_Coeffs!$P13)*(SQRT(BSSA14!$A$12^2+(BSSA14_Coeffs!$O13^2))-BSSA14_Coeffs!$N13)),IF($A$30=1,((BSSA14_Coeffs!$J13+BSSA14_Coeffs!$K13*($A$6-BSSA14_Coeffs!$M13))*LN(SQRT(BSSA14!$A$12^2+(BSSA14_Coeffs!$O13^2))/BSSA14_Coeffs!$N13)+(BSSA14_Coeffs!$L13+BSSA14_Coeffs!$Q13)*(SQRT(BSSA14!$A$12^2+(BSSA14_Coeffs!$O13^2))-BSSA14_Coeffs!$N13)),IF($A$30=3,((BSSA14_Coeffs!$J13+BSSA14_Coeffs!$K13*($A$6-BSSA14_Coeffs!$M13))*LN(SQRT(BSSA14!$A$12^2+(BSSA14_Coeffs!$O13^2))/BSSA14_Coeffs!$N13)+(BSSA14_Coeffs!$L13+BSSA14_Coeffs!$R13)*(SQRT(BSSA14!$A$12^2+(BSSA14_Coeffs!$O13^2))-BSSA14_Coeffs!$N13)), ((BSSA14_Coeffs!$J13+BSSA14_Coeffs!$K13*($A$6-BSSA14_Coeffs!$M13))*LN(SQRT(BSSA14!$A$12^2+(BSSA14_Coeffs!$O13^2))/BSSA14_Coeffs!$N13)+(BSSA14_Coeffs!$L13+BSSA14_Coeffs!$P13)*(SQRT(BSSA14!$A$12^2+(BSSA14_Coeffs!$O13^2))-BSSA14_Coeffs!$N13)))))</f>
        <v>-1.687052439266723</v>
      </c>
      <c r="G14" s="7">
        <f>IF($A$15&lt;= BSSA14_Coeffs!$T13, BSSA14_Coeffs!$S13 * LN(BSSA14!$A$15/ 760),  BSSA14_Coeffs!$S13* LN(BSSA14_Coeffs!$T13/ 760))</f>
        <v>0.57670007533256473</v>
      </c>
      <c r="H14" s="7">
        <f>BSSA14_Coeffs!$V13 + (BSSA14_Coeffs!$X13 * ((EXP(BSSA14_Coeffs!$Y13* (MIN($A$15,760) - 360))) - EXP(BSSA14_Coeffs!$Y13* (760 - 360)))) * LN((BSSA14!$A$38 + BSSA14_Coeffs!$W13) / BSSA14_Coeffs!$W13)</f>
        <v>-0.28819361335861771</v>
      </c>
      <c r="I14" s="7">
        <f t="shared" si="0"/>
        <v>9.7282058588576414E-2</v>
      </c>
      <c r="J14" s="7">
        <f>IF($D14 &lt; 0.65, 0, IF(AND($D14 &gt;= 0.65,$I14 &lt;= (BSSA14_Coeffs!$AA13/ BSSA14_Coeffs!$Z13)), BSSA14_Coeffs!$Z13* BSSA14!$I14, IF(AND($D14&gt;= 0.65,$I14 &gt; (BSSA14_Coeffs!$AA13 /BSSA14_Coeffs!$Z13)), BSSA14_Coeffs!$AA13)))</f>
        <v>0</v>
      </c>
      <c r="K14" s="7">
        <f t="shared" si="1"/>
        <v>0.28850646197394703</v>
      </c>
      <c r="L14" s="63">
        <f t="shared" si="2"/>
        <v>4.0678506180922014</v>
      </c>
      <c r="M14" s="9">
        <f>IF($A$6&lt;=4.5,BSSA14_Coeffs!$AJ13,IF(AND($A$6&gt;4.5,$A$6&lt;5.5),BSSA14_Coeffs!$AJ13+(BSSA14_Coeffs!$AK13-BSSA14_Coeffs!$AJ13)*(BSSA14!$A$6-4.5),BSSA14_Coeffs!$AK13))</f>
        <v>0.26600000000000001</v>
      </c>
      <c r="N14" s="9">
        <f>IF($A$6&lt;=4.5,BSSA14_Coeffs!$AH13,IF(AND($A$6&gt;4.5,$A$6&lt;5.5),BSSA14_Coeffs!$AH13+(BSSA14_Coeffs!$AI13-BSSA14_Coeffs!$AH13)*(BSSA14!$A$6-4.5),BSSA14_Coeffs!$AI13))</f>
        <v>0.54700000000000004</v>
      </c>
      <c r="O14" s="9">
        <f>IF($A$12&lt;=BSSA14_Coeffs!$AB13,BSSA14!$N14,IF(AND($A$12&gt;BSSA14_Coeffs!$AB13,$A$12&lt;=BSSA14_Coeffs!$AC13),$N14+BSSA14_Coeffs!$AD13*(LN($A$12/BSSA14_Coeffs!$AB13)/(LN(BSSA14_Coeffs!$AC13/BSSA14_Coeffs!$AB13))),$N14+BSSA14_Coeffs!$AD13))</f>
        <v>0.54700000000000004</v>
      </c>
      <c r="P14" s="27">
        <f>IF($A$15&gt;=BSSA14_Coeffs!$AG13,$O14,IF(AND($A$15&gt;=BSSA14_Coeffs!$AF13,$A$15&lt;=BSSA14_Coeffs!$AG13),$O14-BSSA14_Coeffs!$AE13*(LN(BSSA14_Coeffs!$AG13/$A$15)/LN(BSSA14_Coeffs!$AG13/BSSA14_Coeffs!$AF13)),$O14-BSSA14_Coeffs!$AE13))</f>
        <v>0.54700000000000004</v>
      </c>
      <c r="Q14" s="9">
        <f t="shared" si="3"/>
        <v>0.60824748252664396</v>
      </c>
      <c r="R14" s="9">
        <f t="shared" si="4"/>
        <v>0.60824748252664396</v>
      </c>
      <c r="S14" s="7">
        <f t="shared" si="5"/>
        <v>0.6984316362558266</v>
      </c>
      <c r="T14" s="7">
        <f t="shared" si="6"/>
        <v>0.60824748252664396</v>
      </c>
      <c r="U14" s="7"/>
    </row>
    <row r="15" spans="1:29" x14ac:dyDescent="0.45">
      <c r="A15" s="70">
        <f>Main!$B$39</f>
        <v>360</v>
      </c>
      <c r="B15" s="94" t="str">
        <f>IF($A$15&lt;150,"! Not Applicable !", IF(AND(A15&gt;=150, A15&lt;=1500),"","! Not Applicable !"))</f>
        <v/>
      </c>
      <c r="C15" s="393"/>
      <c r="D15" s="11">
        <v>0.3</v>
      </c>
      <c r="E15" s="7">
        <f>IF($A$6&lt;=BSSA14_Coeffs!$I14,(BSSA14_Coeffs!$B14*$A$18+BSSA14_Coeffs!$C14*$A$33+BSSA14_Coeffs!$D14*$A$24+BSSA14_Coeffs!$E14*$A$21+BSSA14_Coeffs!$F14*($A$6-BSSA14_Coeffs!$I14)+BSSA14_Coeffs!$G14*($A$6-BSSA14_Coeffs!I14)^2),(BSSA14_Coeffs!$B14*$A$18+BSSA14_Coeffs!$C14*$A$33+BSSA14_Coeffs!$D14*$A$24+BSSA14_Coeffs!$E14*$A$21+BSSA14_Coeffs!$H14*($A$6-BSSA14_Coeffs!$I14)))</f>
        <v>2.3627801600000002</v>
      </c>
      <c r="F15" s="7">
        <f>IF($A$30=0,((BSSA14_Coeffs!$J14+BSSA14_Coeffs!$K14*($A$6-BSSA14_Coeffs!$M14))*LN(SQRT(BSSA14!$A$12^2+(BSSA14_Coeffs!$O14^2))/BSSA14_Coeffs!$N14)+(BSSA14_Coeffs!$L14+BSSA14_Coeffs!$P14)*(SQRT(BSSA14!$A$12^2+(BSSA14_Coeffs!$O14^2))-BSSA14_Coeffs!$N14)),IF($A$30=1,((BSSA14_Coeffs!$J14+BSSA14_Coeffs!$K14*($A$6-BSSA14_Coeffs!$M14))*LN(SQRT(BSSA14!$A$12^2+(BSSA14_Coeffs!$O14^2))/BSSA14_Coeffs!$N14)+(BSSA14_Coeffs!$L14+BSSA14_Coeffs!$Q14)*(SQRT(BSSA14!$A$12^2+(BSSA14_Coeffs!$O14^2))-BSSA14_Coeffs!$N14)),IF($A$30=3,((BSSA14_Coeffs!$J14+BSSA14_Coeffs!$K14*($A$6-BSSA14_Coeffs!$M14))*LN(SQRT(BSSA14!$A$12^2+(BSSA14_Coeffs!$O14^2))/BSSA14_Coeffs!$N14)+(BSSA14_Coeffs!$L14+BSSA14_Coeffs!$R14)*(SQRT(BSSA14!$A$12^2+(BSSA14_Coeffs!$O14^2))-BSSA14_Coeffs!$N14)), ((BSSA14_Coeffs!$J14+BSSA14_Coeffs!$K14*($A$6-BSSA14_Coeffs!$M14))*LN(SQRT(BSSA14!$A$12^2+(BSSA14_Coeffs!$O14^2))/BSSA14_Coeffs!$N14)+(BSSA14_Coeffs!$L14+BSSA14_Coeffs!$P14)*(SQRT(BSSA14!$A$12^2+(BSSA14_Coeffs!$O14^2))-BSSA14_Coeffs!$N14)))))</f>
        <v>-1.7753424322302223</v>
      </c>
      <c r="G15" s="7">
        <f>IF($A$15&lt;= BSSA14_Coeffs!$T14, BSSA14_Coeffs!$S14 * LN(BSSA14!$A$15/ 760),  BSSA14_Coeffs!$S14* LN(BSSA14_Coeffs!$T14/ 760))</f>
        <v>0.62893036202049712</v>
      </c>
      <c r="H15" s="7">
        <f>BSSA14_Coeffs!$V14 + (BSSA14_Coeffs!$X14 * ((EXP(BSSA14_Coeffs!$Y14* (MIN($A$15,760) - 360))) - EXP(BSSA14_Coeffs!$Y14* (760 - 360)))) * LN((BSSA14!$A$38 + BSSA14_Coeffs!$W14) / BSSA14_Coeffs!$W14)</f>
        <v>-0.27005427703554952</v>
      </c>
      <c r="I15" s="7">
        <f t="shared" si="0"/>
        <v>9.7282058588576414E-2</v>
      </c>
      <c r="J15" s="7">
        <f>IF($D15 &lt; 0.65, 0, IF(AND($D15 &gt;= 0.65,$I15 &lt;= (BSSA14_Coeffs!$AA14/ BSSA14_Coeffs!$Z14)), BSSA14_Coeffs!$Z14* BSSA14!$I15, IF(AND($D15&gt;= 0.65,$I15 &gt; (BSSA14_Coeffs!$AA14 /BSSA14_Coeffs!$Z14)), BSSA14_Coeffs!$AA14)))</f>
        <v>0</v>
      </c>
      <c r="K15" s="7">
        <f t="shared" si="1"/>
        <v>0.35887608498494761</v>
      </c>
      <c r="L15" s="63">
        <f t="shared" si="2"/>
        <v>2.8394088279808081</v>
      </c>
      <c r="M15" s="9">
        <f>IF($A$6&lt;=4.5,BSSA14_Coeffs!$AJ14,IF(AND($A$6&gt;4.5,$A$6&lt;5.5),BSSA14_Coeffs!$AJ14+(BSSA14_Coeffs!$AK14-BSSA14_Coeffs!$AJ14)*(BSSA14!$A$6-4.5),BSSA14_Coeffs!$AK14))</f>
        <v>0.22900000000000001</v>
      </c>
      <c r="N15" s="9">
        <f>IF($A$6&lt;=4.5,BSSA14_Coeffs!$AH14,IF(AND($A$6&gt;4.5,$A$6&lt;5.5),BSSA14_Coeffs!$AH14+(BSSA14_Coeffs!$AI14-BSSA14_Coeffs!$AH14)*(BSSA14!$A$6-4.5),BSSA14_Coeffs!$AI14))</f>
        <v>0.56100000000000005</v>
      </c>
      <c r="O15" s="9">
        <f>IF($A$12&lt;=BSSA14_Coeffs!$AB14,BSSA14!$N15,IF(AND($A$12&gt;BSSA14_Coeffs!$AB14,$A$12&lt;=BSSA14_Coeffs!$AC14),$N15+BSSA14_Coeffs!$AD14*(LN($A$12/BSSA14_Coeffs!$AB14)/(LN(BSSA14_Coeffs!$AC14/BSSA14_Coeffs!$AB14))),$N15+BSSA14_Coeffs!$AD14))</f>
        <v>0.56100000000000005</v>
      </c>
      <c r="P15" s="27">
        <f>IF($A$15&gt;=BSSA14_Coeffs!$AG14,$O15,IF(AND($A$15&gt;=BSSA14_Coeffs!$AF14,$A$15&lt;=BSSA14_Coeffs!$AG14),$O15-BSSA14_Coeffs!$AE14*(LN(BSSA14_Coeffs!$AG14/$A$15)/LN(BSSA14_Coeffs!$AG14/BSSA14_Coeffs!$AF14)),$O15-BSSA14_Coeffs!$AE14))</f>
        <v>0.56100000000000005</v>
      </c>
      <c r="Q15" s="9">
        <f t="shared" si="3"/>
        <v>0.60593894081829736</v>
      </c>
      <c r="R15" s="9">
        <f t="shared" si="4"/>
        <v>0.60593894081829736</v>
      </c>
      <c r="S15" s="7">
        <f t="shared" si="5"/>
        <v>0.69881995345456926</v>
      </c>
      <c r="T15" s="7">
        <f t="shared" si="6"/>
        <v>0.60593894081829736</v>
      </c>
      <c r="U15" s="7"/>
    </row>
    <row r="16" spans="1:29" x14ac:dyDescent="0.45">
      <c r="C16" s="393"/>
      <c r="D16" s="11">
        <v>0.4</v>
      </c>
      <c r="E16" s="7">
        <f>IF($A$6&lt;=BSSA14_Coeffs!$I15,(BSSA14_Coeffs!$B15*$A$18+BSSA14_Coeffs!$C15*$A$33+BSSA14_Coeffs!$D15*$A$24+BSSA14_Coeffs!$E15*$A$21+BSSA14_Coeffs!$F15*($A$6-BSSA14_Coeffs!$I15)+BSSA14_Coeffs!$G15*($A$6-BSSA14_Coeffs!I15)^2),(BSSA14_Coeffs!$B15*$A$18+BSSA14_Coeffs!$C15*$A$33+BSSA14_Coeffs!$D15*$A$24+BSSA14_Coeffs!$E15*$A$21+BSSA14_Coeffs!$H15*($A$6-BSSA14_Coeffs!$I15)))</f>
        <v>2.1438051999999996</v>
      </c>
      <c r="F16" s="7">
        <f>IF($A$30=0,((BSSA14_Coeffs!$J15+BSSA14_Coeffs!$K15*($A$6-BSSA14_Coeffs!$M15))*LN(SQRT(BSSA14!$A$12^2+(BSSA14_Coeffs!$O15^2))/BSSA14_Coeffs!$N15)+(BSSA14_Coeffs!$L15+BSSA14_Coeffs!$P15)*(SQRT(BSSA14!$A$12^2+(BSSA14_Coeffs!$O15^2))-BSSA14_Coeffs!$N15)),IF($A$30=1,((BSSA14_Coeffs!$J15+BSSA14_Coeffs!$K15*($A$6-BSSA14_Coeffs!$M15))*LN(SQRT(BSSA14!$A$12^2+(BSSA14_Coeffs!$O15^2))/BSSA14_Coeffs!$N15)+(BSSA14_Coeffs!$L15+BSSA14_Coeffs!$Q15)*(SQRT(BSSA14!$A$12^2+(BSSA14_Coeffs!$O15^2))-BSSA14_Coeffs!$N15)),IF($A$30=3,((BSSA14_Coeffs!$J15+BSSA14_Coeffs!$K15*($A$6-BSSA14_Coeffs!$M15))*LN(SQRT(BSSA14!$A$12^2+(BSSA14_Coeffs!$O15^2))/BSSA14_Coeffs!$N15)+(BSSA14_Coeffs!$L15+BSSA14_Coeffs!$R15)*(SQRT(BSSA14!$A$12^2+(BSSA14_Coeffs!$O15^2))-BSSA14_Coeffs!$N15)), ((BSSA14_Coeffs!$J15+BSSA14_Coeffs!$K15*($A$6-BSSA14_Coeffs!$M15))*LN(SQRT(BSSA14!$A$12^2+(BSSA14_Coeffs!$O15^2))/BSSA14_Coeffs!$N15)+(BSSA14_Coeffs!$L15+BSSA14_Coeffs!$P15)*(SQRT(BSSA14!$A$12^2+(BSSA14_Coeffs!$O15^2))-BSSA14_Coeffs!$N15)))))</f>
        <v>-1.9263038892320599</v>
      </c>
      <c r="G16" s="7">
        <f>IF($A$15&lt;= BSSA14_Coeffs!$T15, BSSA14_Coeffs!$S15 * LN(BSSA14!$A$15/ 760),  BSSA14_Coeffs!$S15* LN(BSSA14_Coeffs!$T15/ 760))</f>
        <v>0.68063759862714845</v>
      </c>
      <c r="H16" s="7">
        <f>BSSA14_Coeffs!$V15 + (BSSA14_Coeffs!$X15 * ((EXP(BSSA14_Coeffs!$Y15* (MIN($A$15,760) - 360))) - EXP(BSSA14_Coeffs!$Y15* (760 - 360)))) * LN((BSSA14!$A$38 + BSSA14_Coeffs!$W15) / BSSA14_Coeffs!$W15)</f>
        <v>-0.24414543846493122</v>
      </c>
      <c r="I16" s="7">
        <f t="shared" si="0"/>
        <v>9.7282058588576414E-2</v>
      </c>
      <c r="J16" s="7">
        <f>IF($D16 &lt; 0.65, 0, IF(AND($D16 &gt;= 0.65,$I16 &lt;= (BSSA14_Coeffs!$AA15/ BSSA14_Coeffs!$Z15)), BSSA14_Coeffs!$Z15* BSSA14!$I16, IF(AND($D16&gt;= 0.65,$I16 &gt; (BSSA14_Coeffs!$AA15 /BSSA14_Coeffs!$Z15)), BSSA14_Coeffs!$AA15)))</f>
        <v>0</v>
      </c>
      <c r="K16" s="7">
        <f t="shared" si="1"/>
        <v>0.43649216016221726</v>
      </c>
      <c r="L16" s="63">
        <f t="shared" si="2"/>
        <v>2.1197020355111125</v>
      </c>
      <c r="M16" s="9">
        <f>IF($A$6&lt;=4.5,BSSA14_Coeffs!$AJ15,IF(AND($A$6&gt;4.5,$A$6&lt;5.5),BSSA14_Coeffs!$AJ15+(BSSA14_Coeffs!$AK15-BSSA14_Coeffs!$AJ15)*(BSSA14!$A$6-4.5),BSSA14_Coeffs!$AK15))</f>
        <v>0.21</v>
      </c>
      <c r="N16" s="9">
        <f>IF($A$6&lt;=4.5,BSSA14_Coeffs!$AH15,IF(AND($A$6&gt;4.5,$A$6&lt;5.5),BSSA14_Coeffs!$AH15+(BSSA14_Coeffs!$AI15-BSSA14_Coeffs!$AH15)*(BSSA14!$A$6-4.5),BSSA14_Coeffs!$AI15))</f>
        <v>0.57999999999999996</v>
      </c>
      <c r="O16" s="9">
        <f>IF($A$12&lt;=BSSA14_Coeffs!$AB15,BSSA14!$N16,IF(AND($A$12&gt;BSSA14_Coeffs!$AB15,$A$12&lt;=BSSA14_Coeffs!$AC15),$N16+BSSA14_Coeffs!$AD15*(LN($A$12/BSSA14_Coeffs!$AB15)/(LN(BSSA14_Coeffs!$AC15/BSSA14_Coeffs!$AB15))),$N16+BSSA14_Coeffs!$AD15))</f>
        <v>0.57999999999999996</v>
      </c>
      <c r="P16" s="27">
        <f>IF($A$15&gt;=BSSA14_Coeffs!$AG15,$O16,IF(AND($A$15&gt;=BSSA14_Coeffs!$AF15,$A$15&lt;=BSSA14_Coeffs!$AG15),$O16-BSSA14_Coeffs!$AE15*(LN(BSSA14_Coeffs!$AG15/$A$15)/LN(BSSA14_Coeffs!$AG15/BSSA14_Coeffs!$AF15)),$O16-BSSA14_Coeffs!$AE15))</f>
        <v>0.57999999999999996</v>
      </c>
      <c r="Q16" s="9">
        <f t="shared" si="3"/>
        <v>0.61684682053164541</v>
      </c>
      <c r="R16" s="9">
        <f t="shared" si="4"/>
        <v>0.61684682053164541</v>
      </c>
      <c r="S16" s="7">
        <f t="shared" si="5"/>
        <v>0.66201250792980137</v>
      </c>
      <c r="T16" s="7">
        <f t="shared" si="6"/>
        <v>0.61684682053164541</v>
      </c>
      <c r="U16" s="7"/>
    </row>
    <row r="17" spans="1:21" x14ac:dyDescent="0.45">
      <c r="A17" s="46" t="s">
        <v>188</v>
      </c>
      <c r="B17" s="133" t="s">
        <v>404</v>
      </c>
      <c r="C17" s="393"/>
      <c r="D17" s="11">
        <v>0.5</v>
      </c>
      <c r="E17" s="7">
        <f>IF($A$6&lt;=BSSA14_Coeffs!$I16,(BSSA14_Coeffs!$B16*$A$18+BSSA14_Coeffs!$C16*$A$33+BSSA14_Coeffs!$D16*$A$24+BSSA14_Coeffs!$E16*$A$21+BSSA14_Coeffs!$F16*($A$6-BSSA14_Coeffs!$I16)+BSSA14_Coeffs!$G16*($A$6-BSSA14_Coeffs!I16)^2),(BSSA14_Coeffs!$B16*$A$18+BSSA14_Coeffs!$C16*$A$33+BSSA14_Coeffs!$D16*$A$24+BSSA14_Coeffs!$E16*$A$21+BSSA14_Coeffs!$H16*($A$6-BSSA14_Coeffs!$I16)))</f>
        <v>2.1148758000000001</v>
      </c>
      <c r="F17" s="7">
        <f>IF($A$30=0,((BSSA14_Coeffs!$J16+BSSA14_Coeffs!$K16*($A$6-BSSA14_Coeffs!$M16))*LN(SQRT(BSSA14!$A$12^2+(BSSA14_Coeffs!$O16^2))/BSSA14_Coeffs!$N16)+(BSSA14_Coeffs!$L16+BSSA14_Coeffs!$P16)*(SQRT(BSSA14!$A$12^2+(BSSA14_Coeffs!$O16^2))-BSSA14_Coeffs!$N16)),IF($A$30=1,((BSSA14_Coeffs!$J16+BSSA14_Coeffs!$K16*($A$6-BSSA14_Coeffs!$M16))*LN(SQRT(BSSA14!$A$12^2+(BSSA14_Coeffs!$O16^2))/BSSA14_Coeffs!$N16)+(BSSA14_Coeffs!$L16+BSSA14_Coeffs!$Q16)*(SQRT(BSSA14!$A$12^2+(BSSA14_Coeffs!$O16^2))-BSSA14_Coeffs!$N16)),IF($A$30=3,((BSSA14_Coeffs!$J16+BSSA14_Coeffs!$K16*($A$6-BSSA14_Coeffs!$M16))*LN(SQRT(BSSA14!$A$12^2+(BSSA14_Coeffs!$O16^2))/BSSA14_Coeffs!$N16)+(BSSA14_Coeffs!$L16+BSSA14_Coeffs!$R16)*(SQRT(BSSA14!$A$12^2+(BSSA14_Coeffs!$O16^2))-BSSA14_Coeffs!$N16)), ((BSSA14_Coeffs!$J16+BSSA14_Coeffs!$K16*($A$6-BSSA14_Coeffs!$M16))*LN(SQRT(BSSA14!$A$12^2+(BSSA14_Coeffs!$O16^2))/BSSA14_Coeffs!$N16)+(BSSA14_Coeffs!$L16+BSSA14_Coeffs!$P16)*(SQRT(BSSA14!$A$12^2+(BSSA14_Coeffs!$O16^2))-BSSA14_Coeffs!$N16)))))</f>
        <v>-2.0260373490520616</v>
      </c>
      <c r="G17" s="7">
        <f>IF($A$15&lt;= BSSA14_Coeffs!$T16, BSSA14_Coeffs!$S16 * LN(BSSA14!$A$15/ 760),  BSSA14_Coeffs!$S16* LN(BSSA14_Coeffs!$T16/ 760))</f>
        <v>0.72427491969403335</v>
      </c>
      <c r="H17" s="7">
        <f>BSSA14_Coeffs!$V16 + (BSSA14_Coeffs!$X16 * ((EXP(BSSA14_Coeffs!$Y16* (MIN($A$15,760) - 360))) - EXP(BSSA14_Coeffs!$Y16* (760 - 360)))) * LN((BSSA14!$A$38 + BSSA14_Coeffs!$W16) / BSSA14_Coeffs!$W16)</f>
        <v>-0.219746279046169</v>
      </c>
      <c r="I17" s="7">
        <f t="shared" si="0"/>
        <v>9.7282058588576414E-2</v>
      </c>
      <c r="J17" s="7">
        <f>IF($D17 &lt; 0.65, 0, IF(AND($D17 &gt;= 0.65,$I17 &lt;= (BSSA14_Coeffs!$AA16/ BSSA14_Coeffs!$Z16)), BSSA14_Coeffs!$Z16* BSSA14!$I17, IF(AND($D17&gt;= 0.65,$I17 &gt; (BSSA14_Coeffs!$AA16 /BSSA14_Coeffs!$Z16)), BSSA14_Coeffs!$AA16)))</f>
        <v>0</v>
      </c>
      <c r="K17" s="7">
        <f t="shared" si="1"/>
        <v>0.5045286406478644</v>
      </c>
      <c r="L17" s="63">
        <f t="shared" si="2"/>
        <v>1.9950101742118358</v>
      </c>
      <c r="M17" s="9">
        <f>IF($A$6&lt;=4.5,BSSA14_Coeffs!$AJ16,IF(AND($A$6&gt;4.5,$A$6&lt;5.5),BSSA14_Coeffs!$AJ16+(BSSA14_Coeffs!$AK16-BSSA14_Coeffs!$AJ16)*(BSSA14!$A$6-4.5),BSSA14_Coeffs!$AK16))</f>
        <v>0.224</v>
      </c>
      <c r="N17" s="9">
        <f>IF($A$6&lt;=4.5,BSSA14_Coeffs!$AH16,IF(AND($A$6&gt;4.5,$A$6&lt;5.5),BSSA14_Coeffs!$AH16+(BSSA14_Coeffs!$AI16-BSSA14_Coeffs!$AH16)*(BSSA14!$A$6-4.5),BSSA14_Coeffs!$AI16))</f>
        <v>0.59899999999999998</v>
      </c>
      <c r="O17" s="9">
        <f>IF($A$12&lt;=BSSA14_Coeffs!$AB16,BSSA14!$N17,IF(AND($A$12&gt;BSSA14_Coeffs!$AB16,$A$12&lt;=BSSA14_Coeffs!$AC16),$N17+BSSA14_Coeffs!$AD16*(LN($A$12/BSSA14_Coeffs!$AB16)/(LN(BSSA14_Coeffs!$AC16/BSSA14_Coeffs!$AB16))),$N17+BSSA14_Coeffs!$AD16))</f>
        <v>0.59899999999999998</v>
      </c>
      <c r="P17" s="27">
        <f>IF($A$15&gt;=BSSA14_Coeffs!$AG16,$O17,IF(AND($A$15&gt;=BSSA14_Coeffs!$AF16,$A$15&lt;=BSSA14_Coeffs!$AG16),$O17-BSSA14_Coeffs!$AE16*(LN(BSSA14_Coeffs!$AG16/$A$15)/LN(BSSA14_Coeffs!$AG16/BSSA14_Coeffs!$AF16)),$O17-BSSA14_Coeffs!$AE16))</f>
        <v>0.59899999999999998</v>
      </c>
      <c r="Q17" s="9">
        <f t="shared" si="3"/>
        <v>0.63951309603478801</v>
      </c>
      <c r="R17" s="9">
        <f t="shared" si="4"/>
        <v>0.63951309603478801</v>
      </c>
      <c r="S17" s="7">
        <f t="shared" si="5"/>
        <v>0.62180881280480516</v>
      </c>
      <c r="T17" s="7">
        <f t="shared" si="6"/>
        <v>0.63951309603478801</v>
      </c>
      <c r="U17" s="7"/>
    </row>
    <row r="18" spans="1:21" x14ac:dyDescent="0.45">
      <c r="A18" s="70">
        <f>Main!$B$42</f>
        <v>0</v>
      </c>
      <c r="C18" s="393"/>
      <c r="D18" s="11">
        <v>0.75</v>
      </c>
      <c r="E18" s="7">
        <f>IF($A$6&lt;=BSSA14_Coeffs!$I17,(BSSA14_Coeffs!$B17*$A$18+BSSA14_Coeffs!$C17*$A$33+BSSA14_Coeffs!$D17*$A$24+BSSA14_Coeffs!$E17*$A$21+BSSA14_Coeffs!$F17*($A$6-BSSA14_Coeffs!$I17)+BSSA14_Coeffs!$G17*($A$6-BSSA14_Coeffs!I17)^2),(BSSA14_Coeffs!$B17*$A$18+BSSA14_Coeffs!$C17*$A$33+BSSA14_Coeffs!$D17*$A$24+BSSA14_Coeffs!$E17*$A$21+BSSA14_Coeffs!$H17*($A$6-BSSA14_Coeffs!$I17)))</f>
        <v>2.3634248999999992</v>
      </c>
      <c r="F18" s="7">
        <f>IF($A$30=0,((BSSA14_Coeffs!$J17+BSSA14_Coeffs!$K17*($A$6-BSSA14_Coeffs!$M17))*LN(SQRT(BSSA14!$A$12^2+(BSSA14_Coeffs!$O17^2))/BSSA14_Coeffs!$N17)+(BSSA14_Coeffs!$L17+BSSA14_Coeffs!$P17)*(SQRT(BSSA14!$A$12^2+(BSSA14_Coeffs!$O17^2))-BSSA14_Coeffs!$N17)),IF($A$30=1,((BSSA14_Coeffs!$J17+BSSA14_Coeffs!$K17*($A$6-BSSA14_Coeffs!$M17))*LN(SQRT(BSSA14!$A$12^2+(BSSA14_Coeffs!$O17^2))/BSSA14_Coeffs!$N17)+(BSSA14_Coeffs!$L17+BSSA14_Coeffs!$Q17)*(SQRT(BSSA14!$A$12^2+(BSSA14_Coeffs!$O17^2))-BSSA14_Coeffs!$N17)),IF($A$30=3,((BSSA14_Coeffs!$J17+BSSA14_Coeffs!$K17*($A$6-BSSA14_Coeffs!$M17))*LN(SQRT(BSSA14!$A$12^2+(BSSA14_Coeffs!$O17^2))/BSSA14_Coeffs!$N17)+(BSSA14_Coeffs!$L17+BSSA14_Coeffs!$R17)*(SQRT(BSSA14!$A$12^2+(BSSA14_Coeffs!$O17^2))-BSSA14_Coeffs!$N17)), ((BSSA14_Coeffs!$J17+BSSA14_Coeffs!$K17*($A$6-BSSA14_Coeffs!$M17))*LN(SQRT(BSSA14!$A$12^2+(BSSA14_Coeffs!$O17^2))/BSSA14_Coeffs!$N17)+(BSSA14_Coeffs!$L17+BSSA14_Coeffs!$P17)*(SQRT(BSSA14!$A$12^2+(BSSA14_Coeffs!$O17^2))-BSSA14_Coeffs!$N17)))))</f>
        <v>-2.195264695890129</v>
      </c>
      <c r="G18" s="7">
        <f>IF($A$15&lt;= BSSA14_Coeffs!$T17, BSSA14_Coeffs!$S17 * LN(BSSA14!$A$15/ 760),  BSSA14_Coeffs!$S17* LN(BSSA14_Coeffs!$T17/ 760))</f>
        <v>0.75872150361840662</v>
      </c>
      <c r="H18" s="7">
        <f>BSSA14_Coeffs!$V17 + (BSSA14_Coeffs!$X17 * ((EXP(BSSA14_Coeffs!$Y17* (MIN($A$15,760) - 360))) - EXP(BSSA14_Coeffs!$Y17* (760 - 360)))) * LN((BSSA14!$A$38 + BSSA14_Coeffs!$W17) / BSSA14_Coeffs!$W17)</f>
        <v>-0.17634256939404738</v>
      </c>
      <c r="I18" s="7">
        <f t="shared" si="0"/>
        <v>9.7282058588576414E-2</v>
      </c>
      <c r="J18" s="7">
        <f>IF($D18 &lt; 0.65, 0, IF(AND($D18 &gt;= 0.65,$I18 &lt;= (BSSA14_Coeffs!$AA17/ BSSA14_Coeffs!$Z17)), BSSA14_Coeffs!$Z17* BSSA14!$I18, IF(AND($D18&gt;= 0.65,$I18 &gt; (BSSA14_Coeffs!$AA17 /BSSA14_Coeffs!$Z17)), BSSA14_Coeffs!$AA17)))</f>
        <v>8.9499493901490298E-3</v>
      </c>
      <c r="K18" s="7">
        <f t="shared" si="1"/>
        <v>0.5913288836145083</v>
      </c>
      <c r="L18" s="63">
        <f t="shared" si="2"/>
        <v>2.3555426989005972</v>
      </c>
      <c r="M18" s="9">
        <f>IF($A$6&lt;=4.5,BSSA14_Coeffs!$AJ17,IF(AND($A$6&gt;4.5,$A$6&lt;5.5),BSSA14_Coeffs!$AJ17+(BSSA14_Coeffs!$AK17-BSSA14_Coeffs!$AJ17)*(BSSA14!$A$6-4.5),BSSA14_Coeffs!$AK17))</f>
        <v>0.26600000000000001</v>
      </c>
      <c r="N18" s="9">
        <f>IF($A$6&lt;=4.5,BSSA14_Coeffs!$AH17,IF(AND($A$6&gt;4.5,$A$6&lt;5.5),BSSA14_Coeffs!$AH17+(BSSA14_Coeffs!$AI17-BSSA14_Coeffs!$AH17)*(BSSA14!$A$6-4.5),BSSA14_Coeffs!$AI17))</f>
        <v>0.622</v>
      </c>
      <c r="O18" s="9">
        <f>IF($A$12&lt;=BSSA14_Coeffs!$AB17,BSSA14!$N18,IF(AND($A$12&gt;BSSA14_Coeffs!$AB17,$A$12&lt;=BSSA14_Coeffs!$AC17),$N18+BSSA14_Coeffs!$AD17*(LN($A$12/BSSA14_Coeffs!$AB17)/(LN(BSSA14_Coeffs!$AC17/BSSA14_Coeffs!$AB17))),$N18+BSSA14_Coeffs!$AD17))</f>
        <v>0.622</v>
      </c>
      <c r="P18" s="27">
        <f>IF($A$15&gt;=BSSA14_Coeffs!$AG17,$O18,IF(AND($A$15&gt;=BSSA14_Coeffs!$AF17,$A$15&lt;=BSSA14_Coeffs!$AG17),$O18-BSSA14_Coeffs!$AE17*(LN(BSSA14_Coeffs!$AG17/$A$15)/LN(BSSA14_Coeffs!$AG17/BSSA14_Coeffs!$AF17)),$O18-BSSA14_Coeffs!$AE17))</f>
        <v>0.622</v>
      </c>
      <c r="Q18" s="9">
        <f t="shared" si="3"/>
        <v>0.6764909459852364</v>
      </c>
      <c r="R18" s="9">
        <f t="shared" si="4"/>
        <v>0.6764909459852364</v>
      </c>
      <c r="S18" s="7">
        <f t="shared" si="5"/>
        <v>0.49618084479144392</v>
      </c>
      <c r="T18" s="7">
        <f t="shared" si="6"/>
        <v>0.6764909459852364</v>
      </c>
      <c r="U18" s="7"/>
    </row>
    <row r="19" spans="1:21" x14ac:dyDescent="0.45">
      <c r="A19" s="70"/>
      <c r="C19" s="393"/>
      <c r="D19" s="39">
        <v>1</v>
      </c>
      <c r="E19" s="7">
        <f>IF($A$6&lt;=BSSA14_Coeffs!$I18,(BSSA14_Coeffs!$B18*$A$18+BSSA14_Coeffs!$C18*$A$33+BSSA14_Coeffs!$D18*$A$24+BSSA14_Coeffs!$E18*$A$21+BSSA14_Coeffs!$F18*($A$6-BSSA14_Coeffs!$I18)+BSSA14_Coeffs!$G18*($A$6-BSSA14_Coeffs!I18)^2),(BSSA14_Coeffs!$B18*$A$18+BSSA14_Coeffs!$C18*$A$33+BSSA14_Coeffs!$D18*$A$24+BSSA14_Coeffs!$E18*$A$21+BSSA14_Coeffs!$H18*($A$6-BSSA14_Coeffs!$I18)))</f>
        <v>2.5872736999999999</v>
      </c>
      <c r="F19" s="7">
        <f>IF($A$30=0,((BSSA14_Coeffs!$J18+BSSA14_Coeffs!$K18*($A$6-BSSA14_Coeffs!$M18))*LN(SQRT(BSSA14!$A$12^2+(BSSA14_Coeffs!$O18^2))/BSSA14_Coeffs!$N18)+(BSSA14_Coeffs!$L18+BSSA14_Coeffs!$P18)*(SQRT(BSSA14!$A$12^2+(BSSA14_Coeffs!$O18^2))-BSSA14_Coeffs!$N18)),IF($A$30=1,((BSSA14_Coeffs!$J18+BSSA14_Coeffs!$K18*($A$6-BSSA14_Coeffs!$M18))*LN(SQRT(BSSA14!$A$12^2+(BSSA14_Coeffs!$O18^2))/BSSA14_Coeffs!$N18)+(BSSA14_Coeffs!$L18+BSSA14_Coeffs!$Q18)*(SQRT(BSSA14!$A$12^2+(BSSA14_Coeffs!$O18^2))-BSSA14_Coeffs!$N18)),IF($A$30=3,((BSSA14_Coeffs!$J18+BSSA14_Coeffs!$K18*($A$6-BSSA14_Coeffs!$M18))*LN(SQRT(BSSA14!$A$12^2+(BSSA14_Coeffs!$O18^2))/BSSA14_Coeffs!$N18)+(BSSA14_Coeffs!$L18+BSSA14_Coeffs!$R18)*(SQRT(BSSA14!$A$12^2+(BSSA14_Coeffs!$O18^2))-BSSA14_Coeffs!$N18)), ((BSSA14_Coeffs!$J18+BSSA14_Coeffs!$K18*($A$6-BSSA14_Coeffs!$M18))*LN(SQRT(BSSA14!$A$12^2+(BSSA14_Coeffs!$O18^2))/BSSA14_Coeffs!$N18)+(BSSA14_Coeffs!$L18+BSSA14_Coeffs!$P18)*(SQRT(BSSA14!$A$12^2+(BSSA14_Coeffs!$O18^2))-BSSA14_Coeffs!$N18)))))</f>
        <v>-2.3100755793039069</v>
      </c>
      <c r="G19" s="7">
        <f>IF($A$15&lt;= BSSA14_Coeffs!$T18, BSSA14_Coeffs!$S18 * LN(BSSA14!$A$15/ 760),  BSSA14_Coeffs!$S18* LN(BSSA14_Coeffs!$T18/ 760))</f>
        <v>0.78457512192173218</v>
      </c>
      <c r="H19" s="7">
        <f>BSSA14_Coeffs!$V18 + (BSSA14_Coeffs!$X18 * ((EXP(BSSA14_Coeffs!$Y18* (MIN($A$15,760) - 360))) - EXP(BSSA14_Coeffs!$Y18* (760 - 360)))) * LN((BSSA14!$A$38 + BSSA14_Coeffs!$W18) / BSSA14_Coeffs!$W18)</f>
        <v>-0.13445194229357768</v>
      </c>
      <c r="I19" s="7">
        <f t="shared" si="0"/>
        <v>9.7282058588576414E-2</v>
      </c>
      <c r="J19" s="7">
        <f>IF($D19 &lt; 0.65, 0, IF(AND($D19 &gt;= 0.65,$I19 &lt;= (BSSA14_Coeffs!$AA18/ BSSA14_Coeffs!$Z18)), BSSA14_Coeffs!$Z18* BSSA14!$I19, IF(AND($D19&gt;= 0.65,$I19 &gt; (BSSA14_Coeffs!$AA18 /BSSA14_Coeffs!$Z18)), BSSA14_Coeffs!$AA18)))</f>
        <v>3.5702515502007544E-2</v>
      </c>
      <c r="K19" s="7">
        <f t="shared" si="1"/>
        <v>0.68582569513016201</v>
      </c>
      <c r="L19" s="63">
        <f t="shared" si="2"/>
        <v>2.8872539913422735</v>
      </c>
      <c r="M19" s="9">
        <f>IF($A$6&lt;=4.5,BSSA14_Coeffs!$AJ18,IF(AND($A$6&gt;4.5,$A$6&lt;5.5),BSSA14_Coeffs!$AJ18+(BSSA14_Coeffs!$AK18-BSSA14_Coeffs!$AJ18)*(BSSA14!$A$6-4.5),BSSA14_Coeffs!$AK18))</f>
        <v>0.29799999999999999</v>
      </c>
      <c r="N19" s="9">
        <f>IF($A$6&lt;=4.5,BSSA14_Coeffs!$AH18,IF(AND($A$6&gt;4.5,$A$6&lt;5.5),BSSA14_Coeffs!$AH18+(BSSA14_Coeffs!$AI18-BSSA14_Coeffs!$AH18)*(BSSA14!$A$6-4.5),BSSA14_Coeffs!$AI18))</f>
        <v>0.625</v>
      </c>
      <c r="O19" s="9">
        <f>IF($A$12&lt;=BSSA14_Coeffs!$AB18,BSSA14!$N19,IF(AND($A$12&gt;BSSA14_Coeffs!$AB18,$A$12&lt;=BSSA14_Coeffs!$AC18),$N19+BSSA14_Coeffs!$AD18*(LN($A$12/BSSA14_Coeffs!$AB18)/(LN(BSSA14_Coeffs!$AC18/BSSA14_Coeffs!$AB18))),$N19+BSSA14_Coeffs!$AD18))</f>
        <v>0.625</v>
      </c>
      <c r="P19" s="27">
        <f>IF($A$15&gt;=BSSA14_Coeffs!$AG18,$O19,IF(AND($A$15&gt;=BSSA14_Coeffs!$AF18,$A$15&lt;=BSSA14_Coeffs!$AG18),$O19-BSSA14_Coeffs!$AE18*(LN(BSSA14_Coeffs!$AG18/$A$15)/LN(BSSA14_Coeffs!$AG18/BSSA14_Coeffs!$AF18)),$O19-BSSA14_Coeffs!$AE18))</f>
        <v>0.625</v>
      </c>
      <c r="Q19" s="9">
        <f t="shared" si="3"/>
        <v>0.69240811664797808</v>
      </c>
      <c r="R19" s="9">
        <f t="shared" si="4"/>
        <v>0.69240811664797808</v>
      </c>
      <c r="S19" s="7">
        <f t="shared" si="5"/>
        <v>0.42212876372661429</v>
      </c>
      <c r="T19" s="7">
        <f t="shared" si="6"/>
        <v>0.69240811664797808</v>
      </c>
      <c r="U19" s="7"/>
    </row>
    <row r="20" spans="1:21" ht="15" x14ac:dyDescent="0.45">
      <c r="A20" s="46" t="s">
        <v>4</v>
      </c>
      <c r="B20" s="134"/>
      <c r="C20" s="393"/>
      <c r="D20" s="39">
        <v>1.5</v>
      </c>
      <c r="E20" s="7">
        <f>IF($A$6&lt;=BSSA14_Coeffs!$I19,(BSSA14_Coeffs!$B19*$A$18+BSSA14_Coeffs!$C19*$A$33+BSSA14_Coeffs!$D19*$A$24+BSSA14_Coeffs!$E19*$A$21+BSSA14_Coeffs!$F19*($A$6-BSSA14_Coeffs!$I19)+BSSA14_Coeffs!$G19*($A$6-BSSA14_Coeffs!I19)^2),(BSSA14_Coeffs!$B19*$A$18+BSSA14_Coeffs!$C19*$A$33+BSSA14_Coeffs!$D19*$A$24+BSSA14_Coeffs!$E19*$A$21+BSSA14_Coeffs!$H19*($A$6-BSSA14_Coeffs!$I19)))</f>
        <v>2.6999329999999988</v>
      </c>
      <c r="F20" s="7">
        <f>IF($A$30=0,((BSSA14_Coeffs!$J19+BSSA14_Coeffs!$K19*($A$6-BSSA14_Coeffs!$M19))*LN(SQRT(BSSA14!$A$12^2+(BSSA14_Coeffs!$O19^2))/BSSA14_Coeffs!$N19)+(BSSA14_Coeffs!$L19+BSSA14_Coeffs!$P19)*(SQRT(BSSA14!$A$12^2+(BSSA14_Coeffs!$O19^2))-BSSA14_Coeffs!$N19)),IF($A$30=1,((BSSA14_Coeffs!$J19+BSSA14_Coeffs!$K19*($A$6-BSSA14_Coeffs!$M19))*LN(SQRT(BSSA14!$A$12^2+(BSSA14_Coeffs!$O19^2))/BSSA14_Coeffs!$N19)+(BSSA14_Coeffs!$L19+BSSA14_Coeffs!$Q19)*(SQRT(BSSA14!$A$12^2+(BSSA14_Coeffs!$O19^2))-BSSA14_Coeffs!$N19)),IF($A$30=3,((BSSA14_Coeffs!$J19+BSSA14_Coeffs!$K19*($A$6-BSSA14_Coeffs!$M19))*LN(SQRT(BSSA14!$A$12^2+(BSSA14_Coeffs!$O19^2))/BSSA14_Coeffs!$N19)+(BSSA14_Coeffs!$L19+BSSA14_Coeffs!$R19)*(SQRT(BSSA14!$A$12^2+(BSSA14_Coeffs!$O19^2))-BSSA14_Coeffs!$N19)), ((BSSA14_Coeffs!$J19+BSSA14_Coeffs!$K19*($A$6-BSSA14_Coeffs!$M19))*LN(SQRT(BSSA14!$A$12^2+(BSSA14_Coeffs!$O19^2))/BSSA14_Coeffs!$N19)+(BSSA14_Coeffs!$L19+BSSA14_Coeffs!$P19)*(SQRT(BSSA14!$A$12^2+(BSSA14_Coeffs!$O19^2))-BSSA14_Coeffs!$N19)))))</f>
        <v>-2.4032701316277931</v>
      </c>
      <c r="G20" s="7">
        <f>IF($A$15&lt;= BSSA14_Coeffs!$T19, BSSA14_Coeffs!$S19 * LN(BSSA14!$A$15/ 760),  BSSA14_Coeffs!$S19* LN(BSSA14_Coeffs!$T19/ 760))</f>
        <v>0.78113793567331324</v>
      </c>
      <c r="H20" s="7">
        <f>BSSA14_Coeffs!$V19 + (BSSA14_Coeffs!$X19 * ((EXP(BSSA14_Coeffs!$Y19* (MIN($A$15,760) - 360))) - EXP(BSSA14_Coeffs!$Y19* (760 - 360)))) * LN((BSSA14!$A$38 + BSSA14_Coeffs!$W19) / BSSA14_Coeffs!$W19)</f>
        <v>-7.828124944947272E-2</v>
      </c>
      <c r="I20" s="7">
        <f t="shared" si="0"/>
        <v>9.7282058588576414E-2</v>
      </c>
      <c r="J20" s="7">
        <f>IF($D20 &lt; 0.65, 0, IF(AND($D20 &gt;= 0.65,$I20 &lt;= (BSSA14_Coeffs!$AA19/ BSSA14_Coeffs!$Z19)), BSSA14_Coeffs!$Z19* BSSA14!$I20, IF(AND($D20&gt;= 0.65,$I20 &gt; (BSSA14_Coeffs!$AA19 /BSSA14_Coeffs!$Z19)), BSSA14_Coeffs!$AA19)))</f>
        <v>6.2065953379511755E-2</v>
      </c>
      <c r="K20" s="7">
        <f t="shared" si="1"/>
        <v>0.76492263960335227</v>
      </c>
      <c r="L20" s="63">
        <f t="shared" si="2"/>
        <v>3.1863229336382264</v>
      </c>
      <c r="M20" s="9">
        <f>IF($A$6&lt;=4.5,BSSA14_Coeffs!$AJ19,IF(AND($A$6&gt;4.5,$A$6&lt;5.5),BSSA14_Coeffs!$AJ19+(BSSA14_Coeffs!$AK19-BSSA14_Coeffs!$AJ19)*(BSSA14!$A$6-4.5),BSSA14_Coeffs!$AK19))</f>
        <v>0.315</v>
      </c>
      <c r="N20" s="9">
        <f>IF($A$6&lt;=4.5,BSSA14_Coeffs!$AH19,IF(AND($A$6&gt;4.5,$A$6&lt;5.5),BSSA14_Coeffs!$AH19+(BSSA14_Coeffs!$AI19-BSSA14_Coeffs!$AH19)*(BSSA14!$A$6-4.5),BSSA14_Coeffs!$AI19))</f>
        <v>0.61899999999999999</v>
      </c>
      <c r="O20" s="9">
        <f>IF($A$12&lt;=BSSA14_Coeffs!$AB19,BSSA14!$N20,IF(AND($A$12&gt;BSSA14_Coeffs!$AB19,$A$12&lt;=BSSA14_Coeffs!$AC19),$N20+BSSA14_Coeffs!$AD19*(LN($A$12/BSSA14_Coeffs!$AB19)/(LN(BSSA14_Coeffs!$AC19/BSSA14_Coeffs!$AB19))),$N20+BSSA14_Coeffs!$AD19))</f>
        <v>0.61899999999999999</v>
      </c>
      <c r="P20" s="27">
        <f>IF($A$15&gt;=BSSA14_Coeffs!$AG19,$O20,IF(AND($A$15&gt;=BSSA14_Coeffs!$AF19,$A$15&lt;=BSSA14_Coeffs!$AG19),$O20-BSSA14_Coeffs!$AE19*(LN(BSSA14_Coeffs!$AG19/$A$15)/LN(BSSA14_Coeffs!$AG19/BSSA14_Coeffs!$AF19)),$O20-BSSA14_Coeffs!$AE19))</f>
        <v>0.61899999999999999</v>
      </c>
      <c r="Q20" s="9">
        <f t="shared" si="3"/>
        <v>0.69454013562932415</v>
      </c>
      <c r="R20" s="9">
        <f t="shared" si="4"/>
        <v>0.69454013562932415</v>
      </c>
      <c r="S20" s="7">
        <f t="shared" si="5"/>
        <v>0.32857718982483292</v>
      </c>
      <c r="T20" s="7">
        <f t="shared" si="6"/>
        <v>0.69454013562932415</v>
      </c>
      <c r="U20" s="7"/>
    </row>
    <row r="21" spans="1:21" x14ac:dyDescent="0.45">
      <c r="A21" s="49">
        <f>Main!$B$45</f>
        <v>0</v>
      </c>
      <c r="C21" s="393"/>
      <c r="D21" s="39">
        <v>2</v>
      </c>
      <c r="E21" s="7">
        <f>IF($A$6&lt;=BSSA14_Coeffs!$I20,(BSSA14_Coeffs!$B20*$A$18+BSSA14_Coeffs!$C20*$A$33+BSSA14_Coeffs!$D20*$A$24+BSSA14_Coeffs!$E20*$A$21+BSSA14_Coeffs!$F20*($A$6-BSSA14_Coeffs!$I20)+BSSA14_Coeffs!$G20*($A$6-BSSA14_Coeffs!I20)^2),(BSSA14_Coeffs!$B20*$A$18+BSSA14_Coeffs!$C20*$A$33+BSSA14_Coeffs!$D20*$A$24+BSSA14_Coeffs!$E20*$A$21+BSSA14_Coeffs!$H20*($A$6-BSSA14_Coeffs!$I20)))</f>
        <v>2.6831942999999994</v>
      </c>
      <c r="F21" s="7">
        <f>IF($A$30=0,((BSSA14_Coeffs!$J20+BSSA14_Coeffs!$K20*($A$6-BSSA14_Coeffs!$M20))*LN(SQRT(BSSA14!$A$12^2+(BSSA14_Coeffs!$O20^2))/BSSA14_Coeffs!$N20)+(BSSA14_Coeffs!$L20+BSSA14_Coeffs!$P20)*(SQRT(BSSA14!$A$12^2+(BSSA14_Coeffs!$O20^2))-BSSA14_Coeffs!$N20)),IF($A$30=1,((BSSA14_Coeffs!$J20+BSSA14_Coeffs!$K20*($A$6-BSSA14_Coeffs!$M20))*LN(SQRT(BSSA14!$A$12^2+(BSSA14_Coeffs!$O20^2))/BSSA14_Coeffs!$N20)+(BSSA14_Coeffs!$L20+BSSA14_Coeffs!$Q20)*(SQRT(BSSA14!$A$12^2+(BSSA14_Coeffs!$O20^2))-BSSA14_Coeffs!$N20)),IF($A$30=3,((BSSA14_Coeffs!$J20+BSSA14_Coeffs!$K20*($A$6-BSSA14_Coeffs!$M20))*LN(SQRT(BSSA14!$A$12^2+(BSSA14_Coeffs!$O20^2))/BSSA14_Coeffs!$N20)+(BSSA14_Coeffs!$L20+BSSA14_Coeffs!$R20)*(SQRT(BSSA14!$A$12^2+(BSSA14_Coeffs!$O20^2))-BSSA14_Coeffs!$N20)), ((BSSA14_Coeffs!$J20+BSSA14_Coeffs!$K20*($A$6-BSSA14_Coeffs!$M20))*LN(SQRT(BSSA14!$A$12^2+(BSSA14_Coeffs!$O20^2))/BSSA14_Coeffs!$N20)+(BSSA14_Coeffs!$L20+BSSA14_Coeffs!$P20)*(SQRT(BSSA14!$A$12^2+(BSSA14_Coeffs!$O20^2))-BSSA14_Coeffs!$N20)))))</f>
        <v>-2.4328118931146254</v>
      </c>
      <c r="G21" s="7">
        <f>IF($A$15&lt;= BSSA14_Coeffs!$T20, BSSA14_Coeffs!$S20 * LN(BSSA14!$A$15/ 760),  BSSA14_Coeffs!$S20* LN(BSSA14_Coeffs!$T20/ 760))</f>
        <v>0.77650520638196574</v>
      </c>
      <c r="H21" s="7">
        <f>BSSA14_Coeffs!$V20 + (BSSA14_Coeffs!$X20 * ((EXP(BSSA14_Coeffs!$Y20* (MIN($A$15,760) - 360))) - EXP(BSSA14_Coeffs!$Y20* (760 - 360)))) * LN((BSSA14!$A$38 + BSSA14_Coeffs!$W20) / BSSA14_Coeffs!$W20)</f>
        <v>-4.0776097986019312E-2</v>
      </c>
      <c r="I21" s="7">
        <f t="shared" si="0"/>
        <v>9.7282058588576414E-2</v>
      </c>
      <c r="J21" s="7">
        <f>IF($D21 &lt; 0.65, 0, IF(AND($D21 &gt;= 0.65,$I21 &lt;= (BSSA14_Coeffs!$AA20/ BSSA14_Coeffs!$Z20)), BSSA14_Coeffs!$Z20* BSSA14!$I21, IF(AND($D21&gt;= 0.65,$I21 &gt; (BSSA14_Coeffs!$AA20 /BSSA14_Coeffs!$Z20)), BSSA14_Coeffs!$AA20)))</f>
        <v>8.473267303065006E-2</v>
      </c>
      <c r="K21" s="7">
        <f t="shared" si="1"/>
        <v>0.82046178142659643</v>
      </c>
      <c r="L21" s="63">
        <f t="shared" si="2"/>
        <v>3.2159610724331849</v>
      </c>
      <c r="M21" s="9">
        <f>IF($A$6&lt;=4.5,BSSA14_Coeffs!$AJ20,IF(AND($A$6&gt;4.5,$A$6&lt;5.5),BSSA14_Coeffs!$AJ20+(BSSA14_Coeffs!$AK20-BSSA14_Coeffs!$AJ20)*(BSSA14!$A$6-4.5),BSSA14_Coeffs!$AK20))</f>
        <v>0.32900000000000001</v>
      </c>
      <c r="N21" s="9">
        <f>IF($A$6&lt;=4.5,BSSA14_Coeffs!$AH20,IF(AND($A$6&gt;4.5,$A$6&lt;5.5),BSSA14_Coeffs!$AH20+(BSSA14_Coeffs!$AI20-BSSA14_Coeffs!$AH20)*(BSSA14!$A$6-4.5),BSSA14_Coeffs!$AI20))</f>
        <v>0.61799999999999999</v>
      </c>
      <c r="O21" s="9">
        <f>IF($A$12&lt;=BSSA14_Coeffs!$AB20,BSSA14!$N21,IF(AND($A$12&gt;BSSA14_Coeffs!$AB20,$A$12&lt;=BSSA14_Coeffs!$AC20),$N21+BSSA14_Coeffs!$AD20*(LN($A$12/BSSA14_Coeffs!$AB20)/(LN(BSSA14_Coeffs!$AC20/BSSA14_Coeffs!$AB20))),$N21+BSSA14_Coeffs!$AD20))</f>
        <v>0.61799999999999999</v>
      </c>
      <c r="P21" s="27">
        <f>IF($A$15&gt;=BSSA14_Coeffs!$AG20,$O21,IF(AND($A$15&gt;=BSSA14_Coeffs!$AF20,$A$15&lt;=BSSA14_Coeffs!$AG20),$O21-BSSA14_Coeffs!$AE20*(LN(BSSA14_Coeffs!$AG20/$A$15)/LN(BSSA14_Coeffs!$AG20/BSSA14_Coeffs!$AF20)),$O21-BSSA14_Coeffs!$AE20))</f>
        <v>0.61799999999999999</v>
      </c>
      <c r="Q21" s="9">
        <f t="shared" si="3"/>
        <v>0.70011784722288006</v>
      </c>
      <c r="R21" s="9">
        <f t="shared" si="4"/>
        <v>0.70011784722288006</v>
      </c>
      <c r="S21" s="7">
        <f t="shared" si="5"/>
        <v>0.26944038698082284</v>
      </c>
      <c r="T21" s="7">
        <f t="shared" si="6"/>
        <v>0.70011784722288006</v>
      </c>
      <c r="U21" s="7"/>
    </row>
    <row r="22" spans="1:21" x14ac:dyDescent="0.45">
      <c r="A22" s="70"/>
      <c r="B22" s="126"/>
      <c r="C22" s="393"/>
      <c r="D22" s="39">
        <v>3</v>
      </c>
      <c r="E22" s="7">
        <f>IF($A$6&lt;=BSSA14_Coeffs!$I21,(BSSA14_Coeffs!$B21*$A$18+BSSA14_Coeffs!$C21*$A$33+BSSA14_Coeffs!$D21*$A$24+BSSA14_Coeffs!$E21*$A$21+BSSA14_Coeffs!$F21*($A$6-BSSA14_Coeffs!$I21)+BSSA14_Coeffs!$G21*($A$6-BSSA14_Coeffs!I21)^2),(BSSA14_Coeffs!$B21*$A$18+BSSA14_Coeffs!$C21*$A$33+BSSA14_Coeffs!$D21*$A$24+BSSA14_Coeffs!$E21*$A$21+BSSA14_Coeffs!$H21*($A$6-BSSA14_Coeffs!$I21)))</f>
        <v>2.7529847999999988</v>
      </c>
      <c r="F22" s="7">
        <f>IF($A$30=0,((BSSA14_Coeffs!$J21+BSSA14_Coeffs!$K21*($A$6-BSSA14_Coeffs!$M21))*LN(SQRT(BSSA14!$A$12^2+(BSSA14_Coeffs!$O21^2))/BSSA14_Coeffs!$N21)+(BSSA14_Coeffs!$L21+BSSA14_Coeffs!$P21)*(SQRT(BSSA14!$A$12^2+(BSSA14_Coeffs!$O21^2))-BSSA14_Coeffs!$N21)),IF($A$30=1,((BSSA14_Coeffs!$J21+BSSA14_Coeffs!$K21*($A$6-BSSA14_Coeffs!$M21))*LN(SQRT(BSSA14!$A$12^2+(BSSA14_Coeffs!$O21^2))/BSSA14_Coeffs!$N21)+(BSSA14_Coeffs!$L21+BSSA14_Coeffs!$Q21)*(SQRT(BSSA14!$A$12^2+(BSSA14_Coeffs!$O21^2))-BSSA14_Coeffs!$N21)),IF($A$30=3,((BSSA14_Coeffs!$J21+BSSA14_Coeffs!$K21*($A$6-BSSA14_Coeffs!$M21))*LN(SQRT(BSSA14!$A$12^2+(BSSA14_Coeffs!$O21^2))/BSSA14_Coeffs!$N21)+(BSSA14_Coeffs!$L21+BSSA14_Coeffs!$R21)*(SQRT(BSSA14!$A$12^2+(BSSA14_Coeffs!$O21^2))-BSSA14_Coeffs!$N21)), ((BSSA14_Coeffs!$J21+BSSA14_Coeffs!$K21*($A$6-BSSA14_Coeffs!$M21))*LN(SQRT(BSSA14!$A$12^2+(BSSA14_Coeffs!$O21^2))/BSSA14_Coeffs!$N21)+(BSSA14_Coeffs!$L21+BSSA14_Coeffs!$P21)*(SQRT(BSSA14!$A$12^2+(BSSA14_Coeffs!$O21^2))-BSSA14_Coeffs!$N21)))))</f>
        <v>-2.4338528857313886</v>
      </c>
      <c r="G22" s="7">
        <f>IF($A$15&lt;= BSSA14_Coeffs!$T21, BSSA14_Coeffs!$S21 * LN(BSSA14!$A$15/ 760),  BSSA14_Coeffs!$S21* LN(BSSA14_Coeffs!$T21/ 760))</f>
        <v>0.75558320313071969</v>
      </c>
      <c r="H22" s="7">
        <f>BSSA14_Coeffs!$V21 + (BSSA14_Coeffs!$X21 * ((EXP(BSSA14_Coeffs!$Y21* (MIN($A$15,760) - 360))) - EXP(BSSA14_Coeffs!$Y21* (760 - 360)))) * LN((BSSA14!$A$38 + BSSA14_Coeffs!$W21) / BSSA14_Coeffs!$W21)</f>
        <v>-9.3246357067892117E-3</v>
      </c>
      <c r="I22" s="7">
        <f t="shared" si="0"/>
        <v>9.7282058588576414E-2</v>
      </c>
      <c r="J22" s="7">
        <f>IF($D22 &lt; 0.65, 0, IF(AND($D22 &gt;= 0.65,$I22 &lt;= (BSSA14_Coeffs!$AA21/ BSSA14_Coeffs!$Z21)), BSSA14_Coeffs!$Z21* BSSA14!$I22, IF(AND($D22&gt;= 0.65,$I22 &gt; (BSSA14_Coeffs!$AA21 /BSSA14_Coeffs!$Z21)), BSSA14_Coeffs!$AA21)))</f>
        <v>0.11041513649803424</v>
      </c>
      <c r="K22" s="7">
        <f t="shared" si="1"/>
        <v>0.85667370392196474</v>
      </c>
      <c r="L22" s="63">
        <f t="shared" si="2"/>
        <v>3.5718643157453012</v>
      </c>
      <c r="M22" s="9">
        <f>IF($A$6&lt;=4.5,BSSA14_Coeffs!$AJ21,IF(AND($A$6&gt;4.5,$A$6&lt;5.5),BSSA14_Coeffs!$AJ21+(BSSA14_Coeffs!$AK21-BSSA14_Coeffs!$AJ21)*(BSSA14!$A$6-4.5),BSSA14_Coeffs!$AK21))</f>
        <v>0.34399999999999997</v>
      </c>
      <c r="N22" s="9">
        <f>IF($A$6&lt;=4.5,BSSA14_Coeffs!$AH21,IF(AND($A$6&gt;4.5,$A$6&lt;5.5),BSSA14_Coeffs!$AH21+(BSSA14_Coeffs!$AI21-BSSA14_Coeffs!$AH21)*(BSSA14!$A$6-4.5),BSSA14_Coeffs!$AI21))</f>
        <v>0.61899999999999999</v>
      </c>
      <c r="O22" s="9">
        <f>IF($A$12&lt;=BSSA14_Coeffs!$AB21,BSSA14!$N22,IF(AND($A$12&gt;BSSA14_Coeffs!$AB21,$A$12&lt;=BSSA14_Coeffs!$AC21),$N22+BSSA14_Coeffs!$AD21*(LN($A$12/BSSA14_Coeffs!$AB21)/(LN(BSSA14_Coeffs!$AC21/BSSA14_Coeffs!$AB21))),$N22+BSSA14_Coeffs!$AD21))</f>
        <v>0.61899999999999999</v>
      </c>
      <c r="P22" s="27">
        <f>IF($A$15&gt;=BSSA14_Coeffs!$AG21,$O22,IF(AND($A$15&gt;=BSSA14_Coeffs!$AF21,$A$15&lt;=BSSA14_Coeffs!$AG21),$O22-BSSA14_Coeffs!$AE21*(LN(BSSA14_Coeffs!$AG21/$A$15)/LN(BSSA14_Coeffs!$AG21/BSSA14_Coeffs!$AF21)),$O22-BSSA14_Coeffs!$AE21))</f>
        <v>0.61899999999999999</v>
      </c>
      <c r="Q22" s="9">
        <f t="shared" si="3"/>
        <v>0.70816452890553616</v>
      </c>
      <c r="R22" s="9">
        <f t="shared" si="4"/>
        <v>0.70816452890553616</v>
      </c>
      <c r="S22" s="7">
        <f t="shared" si="5"/>
        <v>0.21697065135303942</v>
      </c>
      <c r="T22" s="7">
        <f t="shared" si="6"/>
        <v>0.70816452890553616</v>
      </c>
      <c r="U22" s="7"/>
    </row>
    <row r="23" spans="1:21" ht="15" x14ac:dyDescent="0.45">
      <c r="A23" s="46" t="s">
        <v>5</v>
      </c>
      <c r="B23" s="134"/>
      <c r="C23" s="393"/>
      <c r="D23" s="39">
        <v>4</v>
      </c>
      <c r="E23" s="7">
        <f>IF($A$6&lt;=BSSA14_Coeffs!$I22,(BSSA14_Coeffs!$B22*$A$18+BSSA14_Coeffs!$C22*$A$33+BSSA14_Coeffs!$D22*$A$24+BSSA14_Coeffs!$E22*$A$21+BSSA14_Coeffs!$F22*($A$6-BSSA14_Coeffs!$I22)+BSSA14_Coeffs!$G22*($A$6-BSSA14_Coeffs!I22)^2),(BSSA14_Coeffs!$B22*$A$18+BSSA14_Coeffs!$C22*$A$33+BSSA14_Coeffs!$D22*$A$24+BSSA14_Coeffs!$E22*$A$21+BSSA14_Coeffs!$H22*($A$6-BSSA14_Coeffs!$I22)))</f>
        <v>2.559942379999999</v>
      </c>
      <c r="F23" s="7">
        <f>IF($A$30=0,((BSSA14_Coeffs!$J22+BSSA14_Coeffs!$K22*($A$6-BSSA14_Coeffs!$M22))*LN(SQRT(BSSA14!$A$12^2+(BSSA14_Coeffs!$O22^2))/BSSA14_Coeffs!$N22)+(BSSA14_Coeffs!$L22+BSSA14_Coeffs!$P22)*(SQRT(BSSA14!$A$12^2+(BSSA14_Coeffs!$O22^2))-BSSA14_Coeffs!$N22)),IF($A$30=1,((BSSA14_Coeffs!$J22+BSSA14_Coeffs!$K22*($A$6-BSSA14_Coeffs!$M22))*LN(SQRT(BSSA14!$A$12^2+(BSSA14_Coeffs!$O22^2))/BSSA14_Coeffs!$N22)+(BSSA14_Coeffs!$L22+BSSA14_Coeffs!$Q22)*(SQRT(BSSA14!$A$12^2+(BSSA14_Coeffs!$O22^2))-BSSA14_Coeffs!$N22)),IF($A$30=3,((BSSA14_Coeffs!$J22+BSSA14_Coeffs!$K22*($A$6-BSSA14_Coeffs!$M22))*LN(SQRT(BSSA14!$A$12^2+(BSSA14_Coeffs!$O22^2))/BSSA14_Coeffs!$N22)+(BSSA14_Coeffs!$L22+BSSA14_Coeffs!$R22)*(SQRT(BSSA14!$A$12^2+(BSSA14_Coeffs!$O22^2))-BSSA14_Coeffs!$N22)), ((BSSA14_Coeffs!$J22+BSSA14_Coeffs!$K22*($A$6-BSSA14_Coeffs!$M22))*LN(SQRT(BSSA14!$A$12^2+(BSSA14_Coeffs!$O22^2))/BSSA14_Coeffs!$N22)+(BSSA14_Coeffs!$L22+BSSA14_Coeffs!$P22)*(SQRT(BSSA14!$A$12^2+(BSSA14_Coeffs!$O22^2))-BSSA14_Coeffs!$N22)))))</f>
        <v>-2.3924574846915285</v>
      </c>
      <c r="G23" s="7">
        <f>IF($A$15&lt;= BSSA14_Coeffs!$T22, BSSA14_Coeffs!$S22 * LN(BSSA14!$A$15/ 760),  BSSA14_Coeffs!$S22* LN(BSSA14_Coeffs!$T22/ 760))</f>
        <v>0.7243496411342164</v>
      </c>
      <c r="H23" s="7">
        <f>BSSA14_Coeffs!$V22 + (BSSA14_Coeffs!$X22 * ((EXP(BSSA14_Coeffs!$Y22* (MIN($A$15,760) - 360))) - EXP(BSSA14_Coeffs!$Y22* (760 - 360)))) * LN((BSSA14!$A$38 + BSSA14_Coeffs!$W22) / BSSA14_Coeffs!$W22)</f>
        <v>-1.9363264948527319E-3</v>
      </c>
      <c r="I23" s="7">
        <f t="shared" si="0"/>
        <v>9.7282058588576414E-2</v>
      </c>
      <c r="J23" s="7">
        <f>IF($D23 &lt; 0.65, 0, IF(AND($D23 &gt;= 0.65,$I23 &lt;= (BSSA14_Coeffs!$AA22/ BSSA14_Coeffs!$Z22)), BSSA14_Coeffs!$Z22* BSSA14!$I23, IF(AND($D23&gt;= 0.65,$I23 &gt; (BSSA14_Coeffs!$AA22 /BSSA14_Coeffs!$Z22)), BSSA14_Coeffs!$AA22)))</f>
        <v>0.12364549646608061</v>
      </c>
      <c r="K23" s="7">
        <f t="shared" si="1"/>
        <v>0.84605881110544423</v>
      </c>
      <c r="L23" s="63">
        <f t="shared" si="2"/>
        <v>3.0368650962336838</v>
      </c>
      <c r="M23" s="9">
        <f>IF($A$6&lt;=4.5,BSSA14_Coeffs!$AJ22,IF(AND($A$6&gt;4.5,$A$6&lt;5.5),BSSA14_Coeffs!$AJ22+(BSSA14_Coeffs!$AK22-BSSA14_Coeffs!$AJ22)*(BSSA14!$A$6-4.5),BSSA14_Coeffs!$AK22))</f>
        <v>0.34899999999999998</v>
      </c>
      <c r="N23" s="9">
        <f>IF($A$6&lt;=4.5,BSSA14_Coeffs!$AH22,IF(AND($A$6&gt;4.5,$A$6&lt;5.5),BSSA14_Coeffs!$AH22+(BSSA14_Coeffs!$AI22-BSSA14_Coeffs!$AH22)*(BSSA14!$A$6-4.5),BSSA14_Coeffs!$AI22))</f>
        <v>0.61599999999999999</v>
      </c>
      <c r="O23" s="9">
        <f>IF($A$12&lt;=BSSA14_Coeffs!$AB22,BSSA14!$N23,IF(AND($A$12&gt;BSSA14_Coeffs!$AB22,$A$12&lt;=BSSA14_Coeffs!$AC22),$N23+BSSA14_Coeffs!$AD22*(LN($A$12/BSSA14_Coeffs!$AB22)/(LN(BSSA14_Coeffs!$AC22/BSSA14_Coeffs!$AB22))),$N23+BSSA14_Coeffs!$AD22))</f>
        <v>0.61599999999999999</v>
      </c>
      <c r="P23" s="27">
        <f>IF($A$15&gt;=BSSA14_Coeffs!$AG22,$O23,IF(AND($A$15&gt;=BSSA14_Coeffs!$AF22,$A$15&lt;=BSSA14_Coeffs!$AG22),$O23-BSSA14_Coeffs!$AE22*(LN(BSSA14_Coeffs!$AG22/$A$15)/LN(BSSA14_Coeffs!$AG22/BSSA14_Coeffs!$AF22)),$O23-BSSA14_Coeffs!$AE22))</f>
        <v>0.61599999999999999</v>
      </c>
      <c r="Q23" s="9">
        <f t="shared" si="3"/>
        <v>0.70799505647991634</v>
      </c>
      <c r="R23" s="9">
        <f t="shared" si="4"/>
        <v>0.70799505647991634</v>
      </c>
      <c r="S23" s="7">
        <f t="shared" si="5"/>
        <v>0.1879758703510705</v>
      </c>
      <c r="T23" s="7">
        <f t="shared" si="6"/>
        <v>0.70799505647991634</v>
      </c>
      <c r="U23" s="7"/>
    </row>
    <row r="24" spans="1:21" x14ac:dyDescent="0.45">
      <c r="A24" s="70">
        <f>Main!$B$48</f>
        <v>0</v>
      </c>
      <c r="B24" s="94"/>
      <c r="C24" s="393"/>
      <c r="D24" s="39">
        <v>5</v>
      </c>
      <c r="E24" s="7">
        <f>IF($A$6&lt;=BSSA14_Coeffs!$I23,(BSSA14_Coeffs!$B23*$A$18+BSSA14_Coeffs!$C23*$A$33+BSSA14_Coeffs!$D23*$A$24+BSSA14_Coeffs!$E23*$A$21+BSSA14_Coeffs!$F23*($A$6-BSSA14_Coeffs!$I23)+BSSA14_Coeffs!$G23*($A$6-BSSA14_Coeffs!I23)^2),(BSSA14_Coeffs!$B23*$A$18+BSSA14_Coeffs!$C23*$A$33+BSSA14_Coeffs!$D23*$A$24+BSSA14_Coeffs!$E23*$A$21+BSSA14_Coeffs!$H23*($A$6-BSSA14_Coeffs!$I23)))</f>
        <v>2.2949834499999988</v>
      </c>
      <c r="F24" s="7">
        <f>IF($A$30=0,((BSSA14_Coeffs!$J23+BSSA14_Coeffs!$K23*($A$6-BSSA14_Coeffs!$M23))*LN(SQRT(BSSA14!$A$12^2+(BSSA14_Coeffs!$O23^2))/BSSA14_Coeffs!$N23)+(BSSA14_Coeffs!$L23+BSSA14_Coeffs!$P23)*(SQRT(BSSA14!$A$12^2+(BSSA14_Coeffs!$O23^2))-BSSA14_Coeffs!$N23)),IF($A$30=1,((BSSA14_Coeffs!$J23+BSSA14_Coeffs!$K23*($A$6-BSSA14_Coeffs!$M23))*LN(SQRT(BSSA14!$A$12^2+(BSSA14_Coeffs!$O23^2))/BSSA14_Coeffs!$N23)+(BSSA14_Coeffs!$L23+BSSA14_Coeffs!$Q23)*(SQRT(BSSA14!$A$12^2+(BSSA14_Coeffs!$O23^2))-BSSA14_Coeffs!$N23)),IF($A$30=3,((BSSA14_Coeffs!$J23+BSSA14_Coeffs!$K23*($A$6-BSSA14_Coeffs!$M23))*LN(SQRT(BSSA14!$A$12^2+(BSSA14_Coeffs!$O23^2))/BSSA14_Coeffs!$N23)+(BSSA14_Coeffs!$L23+BSSA14_Coeffs!$R23)*(SQRT(BSSA14!$A$12^2+(BSSA14_Coeffs!$O23^2))-BSSA14_Coeffs!$N23)), ((BSSA14_Coeffs!$J23+BSSA14_Coeffs!$K23*($A$6-BSSA14_Coeffs!$M23))*LN(SQRT(BSSA14!$A$12^2+(BSSA14_Coeffs!$O23^2))/BSSA14_Coeffs!$N23)+(BSSA14_Coeffs!$L23+BSSA14_Coeffs!$P23)*(SQRT(BSSA14!$A$12^2+(BSSA14_Coeffs!$O23^2))-BSSA14_Coeffs!$N23)))))</f>
        <v>-2.3958801322263854</v>
      </c>
      <c r="G24" s="7">
        <f>IF($A$15&lt;= BSSA14_Coeffs!$T23, BSSA14_Coeffs!$S23 * LN(BSSA14!$A$15/ 760),  BSSA14_Coeffs!$S23* LN(BSSA14_Coeffs!$T23/ 760))</f>
        <v>0.68706364248288831</v>
      </c>
      <c r="H24" s="7">
        <f>BSSA14_Coeffs!$V23 + (BSSA14_Coeffs!$X23 * ((EXP(BSSA14_Coeffs!$Y23* (MIN($A$15,760) - 360))) - EXP(BSSA14_Coeffs!$Y23* (760 - 360)))) * LN((BSSA14!$A$38 + BSSA14_Coeffs!$W23) / BSSA14_Coeffs!$W23)</f>
        <v>-1.4762091672143233E-4</v>
      </c>
      <c r="I24" s="7">
        <f t="shared" si="0"/>
        <v>9.7282058588576414E-2</v>
      </c>
      <c r="J24" s="7">
        <f>IF($D24 &lt; 0.65, 0, IF(AND($D24 &gt;= 0.65,$I24 &lt;= (BSSA14_Coeffs!$AA23/ BSSA14_Coeffs!$Z23)), BSSA14_Coeffs!$Z23* BSSA14!$I24, IF(AND($D24&gt;= 0.65,$I24 &gt; (BSSA14_Coeffs!$AA23 /BSSA14_Coeffs!$Z23)), BSSA14_Coeffs!$AA23)))</f>
        <v>0.12928785586421804</v>
      </c>
      <c r="K24" s="7">
        <f t="shared" si="1"/>
        <v>0.81620387743038503</v>
      </c>
      <c r="L24" s="63">
        <f t="shared" si="2"/>
        <v>2.2537359327160327</v>
      </c>
      <c r="M24" s="9">
        <f>IF($A$6&lt;=4.5,BSSA14_Coeffs!$AJ23,IF(AND($A$6&gt;4.5,$A$6&lt;5.5),BSSA14_Coeffs!$AJ23+(BSSA14_Coeffs!$AK23-BSSA14_Coeffs!$AJ23)*(BSSA14!$A$6-4.5),BSSA14_Coeffs!$AK23))</f>
        <v>0.33500000000000002</v>
      </c>
      <c r="N24" s="9">
        <f>IF($A$6&lt;=4.5,BSSA14_Coeffs!$AH23,IF(AND($A$6&gt;4.5,$A$6&lt;5.5),BSSA14_Coeffs!$AH23+(BSSA14_Coeffs!$AI23-BSSA14_Coeffs!$AH23)*(BSSA14!$A$6-4.5),BSSA14_Coeffs!$AI23))</f>
        <v>0.622</v>
      </c>
      <c r="O24" s="9">
        <f>IF($A$12&lt;=BSSA14_Coeffs!$AB23,BSSA14!$N24,IF(AND($A$12&gt;BSSA14_Coeffs!$AB23,$A$12&lt;=BSSA14_Coeffs!$AC23),$N24+BSSA14_Coeffs!$AD23*(LN($A$12/BSSA14_Coeffs!$AB23)/(LN(BSSA14_Coeffs!$AC23/BSSA14_Coeffs!$AB23))),$N24+BSSA14_Coeffs!$AD23))</f>
        <v>0.622</v>
      </c>
      <c r="P24" s="27">
        <f>IF($A$15&gt;=BSSA14_Coeffs!$AG23,$O24,IF(AND($A$15&gt;=BSSA14_Coeffs!$AF23,$A$15&lt;=BSSA14_Coeffs!$AG23),$O24-BSSA14_Coeffs!$AE23*(LN(BSSA14_Coeffs!$AG23/$A$15)/LN(BSSA14_Coeffs!$AG23/BSSA14_Coeffs!$AF23)),$O24-BSSA14_Coeffs!$AE23))</f>
        <v>0.622</v>
      </c>
      <c r="Q24" s="9">
        <f t="shared" si="3"/>
        <v>0.70647646811482689</v>
      </c>
      <c r="R24" s="9">
        <f t="shared" si="4"/>
        <v>0.70647646811482689</v>
      </c>
      <c r="S24" s="7">
        <f t="shared" si="5"/>
        <v>0.16383257532200105</v>
      </c>
      <c r="T24" s="7">
        <f t="shared" si="6"/>
        <v>0.70647646811482689</v>
      </c>
      <c r="U24" s="7"/>
    </row>
    <row r="25" spans="1:21" x14ac:dyDescent="0.45">
      <c r="C25" s="393"/>
      <c r="D25" s="39">
        <v>7.5</v>
      </c>
      <c r="E25" s="7">
        <f>IF($A$6&lt;=BSSA14_Coeffs!$I24,(BSSA14_Coeffs!$B24*$A$18+BSSA14_Coeffs!$C24*$A$33+BSSA14_Coeffs!$D24*$A$24+BSSA14_Coeffs!$E24*$A$21+BSSA14_Coeffs!$F24*($A$6-BSSA14_Coeffs!$I24)+BSSA14_Coeffs!$G24*($A$6-BSSA14_Coeffs!I24)^2),(BSSA14_Coeffs!$B24*$A$18+BSSA14_Coeffs!$C24*$A$33+BSSA14_Coeffs!$D24*$A$24+BSSA14_Coeffs!$E24*$A$21+BSSA14_Coeffs!$H24*($A$6-BSSA14_Coeffs!$I24)))</f>
        <v>1.2435323399999991</v>
      </c>
      <c r="F25" s="7">
        <f>IF($A$30=0,((BSSA14_Coeffs!$J24+BSSA14_Coeffs!$K24*($A$6-BSSA14_Coeffs!$M24))*LN(SQRT(BSSA14!$A$12^2+(BSSA14_Coeffs!$O24^2))/BSSA14_Coeffs!$N24)+(BSSA14_Coeffs!$L24+BSSA14_Coeffs!$P24)*(SQRT(BSSA14!$A$12^2+(BSSA14_Coeffs!$O24^2))-BSSA14_Coeffs!$N24)),IF($A$30=1,((BSSA14_Coeffs!$J24+BSSA14_Coeffs!$K24*($A$6-BSSA14_Coeffs!$M24))*LN(SQRT(BSSA14!$A$12^2+(BSSA14_Coeffs!$O24^2))/BSSA14_Coeffs!$N24)+(BSSA14_Coeffs!$L24+BSSA14_Coeffs!$Q24)*(SQRT(BSSA14!$A$12^2+(BSSA14_Coeffs!$O24^2))-BSSA14_Coeffs!$N24)),IF($A$30=3,((BSSA14_Coeffs!$J24+BSSA14_Coeffs!$K24*($A$6-BSSA14_Coeffs!$M24))*LN(SQRT(BSSA14!$A$12^2+(BSSA14_Coeffs!$O24^2))/BSSA14_Coeffs!$N24)+(BSSA14_Coeffs!$L24+BSSA14_Coeffs!$R24)*(SQRT(BSSA14!$A$12^2+(BSSA14_Coeffs!$O24^2))-BSSA14_Coeffs!$N24)), ((BSSA14_Coeffs!$J24+BSSA14_Coeffs!$K24*($A$6-BSSA14_Coeffs!$M24))*LN(SQRT(BSSA14!$A$12^2+(BSSA14_Coeffs!$O24^2))/BSSA14_Coeffs!$N24)+(BSSA14_Coeffs!$L24+BSSA14_Coeffs!$P24)*(SQRT(BSSA14!$A$12^2+(BSSA14_Coeffs!$O24^2))-BSSA14_Coeffs!$N24)))))</f>
        <v>-2.3155676153446523</v>
      </c>
      <c r="G25" s="7">
        <f>IF($A$15&lt;= BSSA14_Coeffs!$T24, BSSA14_Coeffs!$S24 * LN(BSSA14!$A$15/ 760),  BSSA14_Coeffs!$S24* LN(BSSA14_Coeffs!$T24/ 760))</f>
        <v>0.58028670446134967</v>
      </c>
      <c r="H25" s="7">
        <f>BSSA14_Coeffs!$V24 + (BSSA14_Coeffs!$X24 * ((EXP(BSSA14_Coeffs!$Y24* (MIN($A$15,760) - 360))) - EXP(BSSA14_Coeffs!$Y24* (760 - 360)))) * LN((BSSA14!$A$38 + BSSA14_Coeffs!$W24) / BSSA14_Coeffs!$W24)</f>
        <v>-3.0479847329236615E-5</v>
      </c>
      <c r="I25" s="7">
        <f t="shared" si="0"/>
        <v>9.7282058588576414E-2</v>
      </c>
      <c r="J25" s="7">
        <f>IF($D25 &lt; 0.65, 0, IF(AND($D25 &gt;= 0.65,$I25 &lt;= (BSSA14_Coeffs!$AA24/ BSSA14_Coeffs!$Z24)), BSSA14_Coeffs!$Z24* BSSA14!$I25, IF(AND($D25&gt;= 0.65,$I25 &gt; (BSSA14_Coeffs!$AA24 /BSSA14_Coeffs!$Z24)), BSSA14_Coeffs!$AA24)))</f>
        <v>0.12928785586421804</v>
      </c>
      <c r="K25" s="7">
        <f t="shared" si="1"/>
        <v>0.70954408047823847</v>
      </c>
      <c r="L25" s="63">
        <f t="shared" si="2"/>
        <v>0.76704551615599315</v>
      </c>
      <c r="M25" s="9">
        <f>IF($A$6&lt;=4.5,BSSA14_Coeffs!$AJ24,IF(AND($A$6&gt;4.5,$A$6&lt;5.5),BSSA14_Coeffs!$AJ24+(BSSA14_Coeffs!$AK24-BSSA14_Coeffs!$AJ24)*(BSSA14!$A$6-4.5),BSSA14_Coeffs!$AK24))</f>
        <v>0.27</v>
      </c>
      <c r="N25" s="9">
        <f>IF($A$6&lt;=4.5,BSSA14_Coeffs!$AH24,IF(AND($A$6&gt;4.5,$A$6&lt;5.5),BSSA14_Coeffs!$AH24+(BSSA14_Coeffs!$AI24-BSSA14_Coeffs!$AH24)*(BSSA14!$A$6-4.5),BSSA14_Coeffs!$AI24))</f>
        <v>0.63400000000000001</v>
      </c>
      <c r="O25" s="9">
        <f>IF($A$12&lt;=BSSA14_Coeffs!$AB24,BSSA14!$N25,IF(AND($A$12&gt;BSSA14_Coeffs!$AB24,$A$12&lt;=BSSA14_Coeffs!$AC24),$N25+BSSA14_Coeffs!$AD24*(LN($A$12/BSSA14_Coeffs!$AB24)/(LN(BSSA14_Coeffs!$AC24/BSSA14_Coeffs!$AB24))),$N25+BSSA14_Coeffs!$AD24))</f>
        <v>0.63400000000000001</v>
      </c>
      <c r="P25" s="27">
        <f>IF($A$15&gt;=BSSA14_Coeffs!$AG24,$O25,IF(AND($A$15&gt;=BSSA14_Coeffs!$AF24,$A$15&lt;=BSSA14_Coeffs!$AG24),$O25-BSSA14_Coeffs!$AE24*(LN(BSSA14_Coeffs!$AG24/$A$15)/LN(BSSA14_Coeffs!$AG24/BSSA14_Coeffs!$AF24)),$O25-BSSA14_Coeffs!$AE24))</f>
        <v>0.63400000000000001</v>
      </c>
      <c r="Q25" s="9">
        <f t="shared" si="3"/>
        <v>0.68909796110567623</v>
      </c>
      <c r="R25" s="9">
        <f t="shared" si="4"/>
        <v>0.68909796110567623</v>
      </c>
      <c r="S25" s="7">
        <f t="shared" si="5"/>
        <v>0.1141281276613742</v>
      </c>
      <c r="T25" s="7">
        <f t="shared" si="6"/>
        <v>0.68909796110567623</v>
      </c>
      <c r="U25" s="7"/>
    </row>
    <row r="26" spans="1:21" x14ac:dyDescent="0.45">
      <c r="A26" s="46" t="s">
        <v>190</v>
      </c>
      <c r="B26" s="134" t="s">
        <v>279</v>
      </c>
      <c r="C26" s="393"/>
      <c r="D26" s="39">
        <v>10</v>
      </c>
      <c r="E26" s="7">
        <f>IF($A$6&lt;=BSSA14_Coeffs!$I25,(BSSA14_Coeffs!$B25*$A$18+BSSA14_Coeffs!$C25*$A$33+BSSA14_Coeffs!$D25*$A$24+BSSA14_Coeffs!$E25*$A$21+BSSA14_Coeffs!$F25*($A$6-BSSA14_Coeffs!$I25)+BSSA14_Coeffs!$G25*($A$6-BSSA14_Coeffs!I25)^2),(BSSA14_Coeffs!$B25*$A$18+BSSA14_Coeffs!$C25*$A$33+BSSA14_Coeffs!$D25*$A$24+BSSA14_Coeffs!$E25*$A$21+BSSA14_Coeffs!$H25*($A$6-BSSA14_Coeffs!$I25)))</f>
        <v>8.0364399999999336E-2</v>
      </c>
      <c r="F26" s="7">
        <f>IF($A$30=0,((BSSA14_Coeffs!$J25+BSSA14_Coeffs!$K25*($A$6-BSSA14_Coeffs!$M25))*LN(SQRT(BSSA14!$A$12^2+(BSSA14_Coeffs!$O25^2))/BSSA14_Coeffs!$N25)+(BSSA14_Coeffs!$L25+BSSA14_Coeffs!$P25)*(SQRT(BSSA14!$A$12^2+(BSSA14_Coeffs!$O25^2))-BSSA14_Coeffs!$N25)),IF($A$30=1,((BSSA14_Coeffs!$J25+BSSA14_Coeffs!$K25*($A$6-BSSA14_Coeffs!$M25))*LN(SQRT(BSSA14!$A$12^2+(BSSA14_Coeffs!$O25^2))/BSSA14_Coeffs!$N25)+(BSSA14_Coeffs!$L25+BSSA14_Coeffs!$Q25)*(SQRT(BSSA14!$A$12^2+(BSSA14_Coeffs!$O25^2))-BSSA14_Coeffs!$N25)),IF($A$30=3,((BSSA14_Coeffs!$J25+BSSA14_Coeffs!$K25*($A$6-BSSA14_Coeffs!$M25))*LN(SQRT(BSSA14!$A$12^2+(BSSA14_Coeffs!$O25^2))/BSSA14_Coeffs!$N25)+(BSSA14_Coeffs!$L25+BSSA14_Coeffs!$R25)*(SQRT(BSSA14!$A$12^2+(BSSA14_Coeffs!$O25^2))-BSSA14_Coeffs!$N25)), ((BSSA14_Coeffs!$J25+BSSA14_Coeffs!$K25*($A$6-BSSA14_Coeffs!$M25))*LN(SQRT(BSSA14!$A$12^2+(BSSA14_Coeffs!$O25^2))/BSSA14_Coeffs!$N25)+(BSSA14_Coeffs!$L25+BSSA14_Coeffs!$P25)*(SQRT(BSSA14!$A$12^2+(BSSA14_Coeffs!$O25^2))-BSSA14_Coeffs!$N25)))))</f>
        <v>-2.2468078845611532</v>
      </c>
      <c r="G26" s="7">
        <f>IF($A$15&lt;= BSSA14_Coeffs!$T25, BSSA14_Coeffs!$S25 * LN(BSSA14!$A$15/ 760),  BSSA14_Coeffs!$S25* LN(BSSA14_Coeffs!$T25/ 760))</f>
        <v>0.49002320472025906</v>
      </c>
      <c r="H26" s="7">
        <f>BSSA14_Coeffs!$V25 + (BSSA14_Coeffs!$X25 * ((EXP(BSSA14_Coeffs!$Y25* (MIN($A$15,760) - 360))) - EXP(BSSA14_Coeffs!$Y25* (760 - 360)))) * LN((BSSA14!$A$38 + BSSA14_Coeffs!$W25) / BSSA14_Coeffs!$W25)</f>
        <v>0</v>
      </c>
      <c r="I26" s="7">
        <f t="shared" si="0"/>
        <v>9.7282058588576414E-2</v>
      </c>
      <c r="J26" s="7">
        <f>IF($D26 &lt; 0.65, 0, IF(AND($D26 &gt;= 0.65,$I26 &lt;= (BSSA14_Coeffs!$AA25/ BSSA14_Coeffs!$Z25)), BSSA14_Coeffs!$Z25* BSSA14!$I26, IF(AND($D26&gt;= 0.65,$I26 &gt; (BSSA14_Coeffs!$AA25 /BSSA14_Coeffs!$Z25)), BSSA14_Coeffs!$AA25)))</f>
        <v>0.11508467531028591</v>
      </c>
      <c r="K26" s="7">
        <f t="shared" si="1"/>
        <v>0.60510788003054494</v>
      </c>
      <c r="L26" s="63">
        <f t="shared" si="2"/>
        <v>0.23129679970970698</v>
      </c>
      <c r="M26" s="9">
        <f>IF($A$6&lt;=4.5,BSSA14_Coeffs!$AJ25,IF(AND($A$6&gt;4.5,$A$6&lt;5.5),BSSA14_Coeffs!$AJ25+(BSSA14_Coeffs!$AK25-BSSA14_Coeffs!$AJ25)*(BSSA14!$A$6-4.5),BSSA14_Coeffs!$AK25))</f>
        <v>0.23899999999999999</v>
      </c>
      <c r="N26" s="9">
        <f>IF($A$6&lt;=4.5,BSSA14_Coeffs!$AH25,IF(AND($A$6&gt;4.5,$A$6&lt;5.5),BSSA14_Coeffs!$AH25+(BSSA14_Coeffs!$AI25-BSSA14_Coeffs!$AH25)*(BSSA14!$A$6-4.5),BSSA14_Coeffs!$AI25))</f>
        <v>0.60399999999999998</v>
      </c>
      <c r="O26" s="9">
        <f>IF($A$12&lt;=BSSA14_Coeffs!$AB25,BSSA14!$N26,IF(AND($A$12&gt;BSSA14_Coeffs!$AB25,$A$12&lt;=BSSA14_Coeffs!$AC25),$N26+BSSA14_Coeffs!$AD25*(LN($A$12/BSSA14_Coeffs!$AB25)/(LN(BSSA14_Coeffs!$AC25/BSSA14_Coeffs!$AB25))),$N26+BSSA14_Coeffs!$AD25))</f>
        <v>0.60399999999999998</v>
      </c>
      <c r="P26" s="27">
        <f>IF($A$15&gt;=BSSA14_Coeffs!$AG25,$O26,IF(AND($A$15&gt;=BSSA14_Coeffs!$AF25,$A$15&lt;=BSSA14_Coeffs!$AG25),$O26-BSSA14_Coeffs!$AE25*(LN(BSSA14_Coeffs!$AG25/$A$15)/LN(BSSA14_Coeffs!$AG25/BSSA14_Coeffs!$AF25)),$O26-BSSA14_Coeffs!$AE25))</f>
        <v>0.60399999999999998</v>
      </c>
      <c r="Q26" s="9">
        <f t="shared" si="3"/>
        <v>0.64956677870716262</v>
      </c>
      <c r="R26" s="9">
        <f t="shared" si="4"/>
        <v>0.64956677870716262</v>
      </c>
      <c r="S26" s="7">
        <f t="shared" si="5"/>
        <v>7.6404781130115576E-2</v>
      </c>
      <c r="T26" s="7">
        <f t="shared" si="6"/>
        <v>0.64956677870716262</v>
      </c>
      <c r="U26" s="7"/>
    </row>
    <row r="27" spans="1:21" x14ac:dyDescent="0.45">
      <c r="A27" s="69">
        <f>Main!$B$63</f>
        <v>0.5</v>
      </c>
      <c r="B27" s="94" t="str">
        <f>IF(AND($A$27&gt;=0, $A$27&lt;=3),"",IF(A27=999,"","! Not Applicable !"))</f>
        <v/>
      </c>
      <c r="S27" s="7"/>
      <c r="T27" s="7"/>
      <c r="U27" s="7"/>
    </row>
    <row r="28" spans="1:21" x14ac:dyDescent="0.45">
      <c r="C28" s="201" t="s">
        <v>34</v>
      </c>
      <c r="D28" s="40">
        <v>0</v>
      </c>
      <c r="E28" s="7">
        <f>IF($A$6&lt;=BSSA14_Coeffs!$I26,(BSSA14_Coeffs!$B26*$A$18+BSSA14_Coeffs!$C26*$A$33+BSSA14_Coeffs!$D26*$A$24+BSSA14_Coeffs!$E26*$A$21+BSSA14_Coeffs!$F26*($A$6-BSSA14_Coeffs!$I26)+BSSA14_Coeffs!$G26*($A$6-BSSA14_Coeffs!I26)^2),(BSSA14_Coeffs!$B26*$A$18+BSSA14_Coeffs!$C26*$A$33+BSSA14_Coeffs!$D26*$A$24+BSSA14_Coeffs!$E26*$A$21+BSSA14_Coeffs!$H26*($A$6-BSSA14_Coeffs!$I26)))</f>
        <v>4.5477828000000002</v>
      </c>
      <c r="F28" s="7">
        <f>IF($A$30=0,((BSSA14_Coeffs!$J26+BSSA14_Coeffs!$K26*($A$6-BSSA14_Coeffs!$M26))*LN(SQRT(BSSA14!$A$12^2+(BSSA14_Coeffs!$O26^2))/BSSA14_Coeffs!$N26)+(BSSA14_Coeffs!$L26+BSSA14_Coeffs!$P26)*(SQRT(BSSA14!$A$12^2+(BSSA14_Coeffs!$O26^2))-BSSA14_Coeffs!$N26)),IF($A$30=1,((BSSA14_Coeffs!$J26+BSSA14_Coeffs!$K26*($A$6-BSSA14_Coeffs!$M26))*LN(SQRT(BSSA14!$A$12^2+(BSSA14_Coeffs!$O26^2))/BSSA14_Coeffs!$N26)+(BSSA14_Coeffs!$L26+BSSA14_Coeffs!$Q26)*(SQRT(BSSA14!$A$12^2+(BSSA14_Coeffs!$O26^2))-BSSA14_Coeffs!$N26)),IF($A$30=3,((BSSA14_Coeffs!$J26+BSSA14_Coeffs!$K26*($A$6-BSSA14_Coeffs!$M26))*LN(SQRT(BSSA14!$A$12^2+(BSSA14_Coeffs!$O26^2))/BSSA14_Coeffs!$N26)+(BSSA14_Coeffs!$L26+BSSA14_Coeffs!$R26)*(SQRT(BSSA14!$A$12^2+(BSSA14_Coeffs!$O26^2))-BSSA14_Coeffs!$N26)), ((BSSA14_Coeffs!$J26+BSSA14_Coeffs!$K26*($A$6-BSSA14_Coeffs!$M26))*LN(SQRT(BSSA14!$A$12^2+(BSSA14_Coeffs!$O26^2))/BSSA14_Coeffs!$N26)+(BSSA14_Coeffs!$L26+BSSA14_Coeffs!$P26)*(SQRT(BSSA14!$A$12^2+(BSSA14_Coeffs!$O26^2))-BSSA14_Coeffs!$N26)))))</f>
        <v>-1.3425363547027063</v>
      </c>
      <c r="G28" s="7">
        <f>IF($A$15&lt;= BSSA14_Coeffs!$T26, BSSA14_Coeffs!$S26 * LN(BSSA14!$A$15/ 760),  BSSA14_Coeffs!$S26* LN(BSSA14_Coeffs!$T26/ 760))</f>
        <v>0.4483286410981327</v>
      </c>
      <c r="H28" s="7">
        <f>BSSA14_Coeffs!$V26 + (BSSA14_Coeffs!$X26 * ((EXP(BSSA14_Coeffs!$Y26* (MIN($A$15,760) - 360))) - EXP(BSSA14_Coeffs!$Y26* (760 - 360)))) * LN((BSSA14!$A$38 + BSSA14_Coeffs!$W26) / BSSA14_Coeffs!$W26)</f>
        <v>-0.18645436515705388</v>
      </c>
      <c r="I28" s="7">
        <f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9.7282058588576414E-2</v>
      </c>
      <c r="J28" s="7">
        <f>IF($D28 &lt; 0.65, 0, IF(AND($D28 &gt;= 0.65,$I28 &lt;= (BSSA14_Coeffs!$AA26/ BSSA14_Coeffs!$Z26)), BSSA14_Coeffs!$Z26* BSSA14!$I28, IF(AND($D28&gt;= 0.65,$I28 &gt; (BSSA14_Coeffs!$AA26 /BSSA14_Coeffs!$Z26)), BSSA14_Coeffs!$AA26)))</f>
        <v>0</v>
      </c>
      <c r="K28" s="7">
        <f>SUM(G28:H28,J28)</f>
        <v>0.26187427594107882</v>
      </c>
      <c r="L28" s="63">
        <f>EXP(SUM($E28,$F28,$K28,I28))</f>
        <v>35.318354270843244</v>
      </c>
      <c r="M28" s="9">
        <f>IF($A$6&lt;=4.5,BSSA14_Coeffs!$AJ26,IF(AND($A$6&gt;4.5,$A$6&lt;5.5),BSSA14_Coeffs!$AJ26+(BSSA14_Coeffs!$AK26-BSSA14_Coeffs!$AJ26)*(BSSA14!$A$6-4.5),BSSA14_Coeffs!$AK26))</f>
        <v>0.34799999999999998</v>
      </c>
      <c r="N28" s="9">
        <f>IF($A$6&lt;=4.5,BSSA14_Coeffs!$AH26,IF(AND($A$6&gt;4.5,$A$6&lt;5.5),BSSA14_Coeffs!$AH26+(BSSA14_Coeffs!$AI26-BSSA14_Coeffs!$AH26)*(BSSA14!$A$6-4.5),BSSA14_Coeffs!$AI26))</f>
        <v>0.495</v>
      </c>
      <c r="O28" s="9">
        <f>IF($A$12&lt;=BSSA14_Coeffs!$AB26,BSSA14!$N28,IF(AND($A$12&gt;BSSA14_Coeffs!$AB26,$A$12&lt;=BSSA14_Coeffs!$AC26),$N28+BSSA14_Coeffs!$AD26*(LN($A$12/BSSA14_Coeffs!$AB26)/(LN(BSSA14_Coeffs!$AC26/BSSA14_Coeffs!$AB26))),$N28+BSSA14_Coeffs!$AD26))</f>
        <v>0.495</v>
      </c>
      <c r="P28" s="27">
        <f>IF($A$15&gt;=BSSA14_Coeffs!$AG26,$O28,IF(AND($A$15&gt;=BSSA14_Coeffs!$AF26,$A$15&lt;=BSSA14_Coeffs!$AG26),$O28-BSSA14_Coeffs!$AE26*(LN(BSSA14_Coeffs!$AG26/$A$15)/LN(BSSA14_Coeffs!$AG26/BSSA14_Coeffs!$AF26)),$O28-BSSA14_Coeffs!$AE26))</f>
        <v>0.495</v>
      </c>
      <c r="Q28" s="9">
        <f>SQRT($M28^2+$N28^2)</f>
        <v>0.6050859443087403</v>
      </c>
      <c r="R28" s="9">
        <f>SQRT($M28^2+$P28^2)</f>
        <v>0.6050859443087403</v>
      </c>
      <c r="S28" s="7">
        <f>BSSA_14($A$6,$A$12,$A$18,$A$21,$A$24,$A$15,$A$30,$A$27,$A$38,$D28)</f>
        <v>0.35801439683696568</v>
      </c>
      <c r="T28" s="7">
        <f>BSSA14_stdev($A$6,$A$12,$A$15,D28)</f>
        <v>0.6050859443087403</v>
      </c>
      <c r="U28" s="7"/>
    </row>
    <row r="29" spans="1:21" x14ac:dyDescent="0.45">
      <c r="A29" s="46" t="s">
        <v>183</v>
      </c>
      <c r="C29" s="201" t="s">
        <v>35</v>
      </c>
      <c r="D29" s="40">
        <v>-1</v>
      </c>
      <c r="E29" s="7">
        <f>IF($A$6&lt;=BSSA14_Coeffs!$I27,(BSSA14_Coeffs!$B27*$A$18+BSSA14_Coeffs!$C27*$A$33+BSSA14_Coeffs!$D27*$A$24+BSSA14_Coeffs!$E27*$A$21+BSSA14_Coeffs!$F27*($A$6-BSSA14_Coeffs!$I27)+BSSA14_Coeffs!$G27*($A$6-BSSA14_Coeffs!I27)^2),(BSSA14_Coeffs!$B27*$A$18+BSSA14_Coeffs!$C27*$A$33+BSSA14_Coeffs!$D27*$A$24+BSSA14_Coeffs!$E27*$A$21+BSSA14_Coeffs!$H27*($A$6-BSSA14_Coeffs!$I27)))</f>
        <v>6.5622040000000004</v>
      </c>
      <c r="F29" s="7">
        <f>IF($A$30=0,((BSSA14_Coeffs!$J27+BSSA14_Coeffs!$K27*($A$6-BSSA14_Coeffs!$M27))*LN(SQRT(BSSA14!$A$12^2+(BSSA14_Coeffs!$O27^2))/BSSA14_Coeffs!$N27)+(BSSA14_Coeffs!$L27+BSSA14_Coeffs!$P27)*(SQRT(BSSA14!$A$12^2+(BSSA14_Coeffs!$O27^2))-BSSA14_Coeffs!$N27)),IF($A$30=1,((BSSA14_Coeffs!$J27+BSSA14_Coeffs!$K27*($A$6-BSSA14_Coeffs!$M27))*LN(SQRT(BSSA14!$A$12^2+(BSSA14_Coeffs!$O27^2))/BSSA14_Coeffs!$N27)+(BSSA14_Coeffs!$L27+BSSA14_Coeffs!$Q27)*(SQRT(BSSA14!$A$12^2+(BSSA14_Coeffs!$O27^2))-BSSA14_Coeffs!$N27)),IF($A$30=3,((BSSA14_Coeffs!$J27+BSSA14_Coeffs!$K27*($A$6-BSSA14_Coeffs!$M27))*LN(SQRT(BSSA14!$A$12^2+(BSSA14_Coeffs!$O27^2))/BSSA14_Coeffs!$N27)+(BSSA14_Coeffs!$L27+BSSA14_Coeffs!$R27)*(SQRT(BSSA14!$A$12^2+(BSSA14_Coeffs!$O27^2))-BSSA14_Coeffs!$N27)), ((BSSA14_Coeffs!$J27+BSSA14_Coeffs!$K27*($A$6-BSSA14_Coeffs!$M27))*LN(SQRT(BSSA14!$A$12^2+(BSSA14_Coeffs!$O27^2))/BSSA14_Coeffs!$N27)+(BSSA14_Coeffs!$L27+BSSA14_Coeffs!$P27)*(SQRT(BSSA14!$A$12^2+(BSSA14_Coeffs!$O27^2))-BSSA14_Coeffs!$N27)))))</f>
        <v>-2.0109591131350433</v>
      </c>
      <c r="G29" s="7">
        <f>IF($A$15&lt;= BSSA14_Coeffs!$T27, BSSA14_Coeffs!$S27 * LN(BSSA14!$A$15/ 760),  BSSA14_Coeffs!$S27* LN(BSSA14_Coeffs!$T27/ 760))</f>
        <v>0.62766009753738572</v>
      </c>
      <c r="H29" s="7">
        <f>BSSA14_Coeffs!$V27 + (BSSA14_Coeffs!$X27 * ((EXP(BSSA14_Coeffs!$Y27* (MIN($A$15,760) - 360))) - EXP(BSSA14_Coeffs!$Y27* (760 - 360)))) * LN((BSSA14!$A$38 + BSSA14_Coeffs!$W27) / BSSA14_Coeffs!$W27)</f>
        <v>-0.12779388108884865</v>
      </c>
      <c r="I29" s="7">
        <f>IF($A$27=999,0,$A$27-(IF($A$30 = 0, (EXP(-7.15 / 4 * LN(($A$15 ^ 4 + 570.94 ^ 4) / (1360 ^ 4 + 570.94 ^ 4))) / 1000), IF($A$30 = 2, (EXP(-5.23 / 2 * LN(($A$15 ^ 2 + 412.39 ^ 2) / (1360 ^ 2 + 412.39 ^ 2))) / 1000), (EXP(-7.15 / 4 * LN(($A$15 ^ 4 + 570.94 ^ 4) / (1360 ^ 4 + 570.94 ^ 4))) / 1000)))))</f>
        <v>9.7282058588576414E-2</v>
      </c>
      <c r="J29" s="7">
        <f>IF($D29 &lt; 0.65, 0, IF(AND($D29 &gt;= 0.65,$I29 &lt;= (BSSA14_Coeffs!$AA27/ BSSA14_Coeffs!$Z27)), BSSA14_Coeffs!$Z27* BSSA14!$I29, IF(AND($D29&gt;= 0.65,$I29 &gt; (BSSA14_Coeffs!$AA27 /BSSA14_Coeffs!$Z27)), BSSA14_Coeffs!$AA27)))</f>
        <v>0</v>
      </c>
      <c r="K29" s="7">
        <f>SUM(G29:H29,J29)</f>
        <v>0.49986621644853707</v>
      </c>
      <c r="L29" s="63">
        <f>EXP(SUM($E29,$F29,$K29,I29))</f>
        <v>172.15464331265389</v>
      </c>
      <c r="M29" s="9">
        <f>IF($A$6&lt;=4.5,BSSA14_Coeffs!$AJ27,IF(AND($A$6&gt;4.5,$A$6&lt;5.5),BSSA14_Coeffs!$AJ27+(BSSA14_Coeffs!$AK27-BSSA14_Coeffs!$AJ27)*(BSSA14!$A$6-4.5),BSSA14_Coeffs!$AK27))</f>
        <v>0.34599999999999997</v>
      </c>
      <c r="N29" s="9">
        <f>IF($A$6&lt;=4.5,BSSA14_Coeffs!$AH27,IF(AND($A$6&gt;4.5,$A$6&lt;5.5),BSSA14_Coeffs!$AH27+(BSSA14_Coeffs!$AI27-BSSA14_Coeffs!$AH27)*(BSSA14!$A$6-4.5),BSSA14_Coeffs!$AI27))</f>
        <v>0.55200000000000005</v>
      </c>
      <c r="O29" s="9">
        <f>IF($A$12&lt;=BSSA14_Coeffs!$AB27,BSSA14!$N29,IF(AND($A$12&gt;BSSA14_Coeffs!$AB27,$A$12&lt;=BSSA14_Coeffs!$AC27),$N29+BSSA14_Coeffs!$AD27*(LN($A$12/BSSA14_Coeffs!$AB27)/(LN(BSSA14_Coeffs!$AC27/BSSA14_Coeffs!$AB27))),$N29+BSSA14_Coeffs!$AD27))</f>
        <v>0.55200000000000005</v>
      </c>
      <c r="P29" s="27">
        <f>IF($A$15&gt;=BSSA14_Coeffs!$AG27,$O29,IF(AND($A$15&gt;=BSSA14_Coeffs!$AF27,$A$15&lt;=BSSA14_Coeffs!$AG27),$O29-BSSA14_Coeffs!$AE27*(LN(BSSA14_Coeffs!$AG27/$A$15)/LN(BSSA14_Coeffs!$AG27/BSSA14_Coeffs!$AF27)),$O29-BSSA14_Coeffs!$AE27))</f>
        <v>0.55200000000000005</v>
      </c>
      <c r="Q29" s="9">
        <f>SQRT($M29^2+$N29^2)</f>
        <v>0.65147524895424846</v>
      </c>
      <c r="R29" s="9">
        <f>SQRT($M29^2+$P29^2)</f>
        <v>0.65147524895424846</v>
      </c>
      <c r="S29" s="7">
        <f>BSSA_14($A$6,$A$12,$A$18,$A$21,$A$24,$A$15,$A$30,$A$27,$A$38,$D29)</f>
        <v>54.314276063424408</v>
      </c>
      <c r="T29" s="7">
        <f>BSSA14_stdev($A$6,$A$12,$A$15,D29)</f>
        <v>0.65147524895424846</v>
      </c>
    </row>
    <row r="30" spans="1:21" x14ac:dyDescent="0.45">
      <c r="A30" s="70">
        <f>Main!$B$101</f>
        <v>0</v>
      </c>
      <c r="E30" s="23"/>
      <c r="G30" s="7"/>
    </row>
    <row r="31" spans="1:21" x14ac:dyDescent="0.45">
      <c r="E31" s="21"/>
      <c r="G31" s="7"/>
    </row>
    <row r="32" spans="1:21" x14ac:dyDescent="0.45">
      <c r="A32" s="95" t="s">
        <v>257</v>
      </c>
      <c r="E32" s="11"/>
      <c r="G32" s="7"/>
    </row>
    <row r="33" spans="1:7" x14ac:dyDescent="0.45">
      <c r="A33" s="136">
        <f>Main!$B$92</f>
        <v>1</v>
      </c>
      <c r="B33" s="126" t="s">
        <v>280</v>
      </c>
      <c r="E33" s="30"/>
      <c r="G33" s="7"/>
    </row>
    <row r="34" spans="1:7" x14ac:dyDescent="0.45">
      <c r="E34" s="30"/>
      <c r="G34" s="7"/>
    </row>
    <row r="35" spans="1:7" ht="20.25" customHeight="1" x14ac:dyDescent="0.45">
      <c r="A35" s="139" t="s">
        <v>400</v>
      </c>
      <c r="B35" s="139"/>
      <c r="C35" s="139"/>
      <c r="D35" s="139"/>
      <c r="E35" s="30"/>
      <c r="G35" s="7"/>
    </row>
    <row r="36" spans="1:7" x14ac:dyDescent="0.45">
      <c r="E36" s="30"/>
      <c r="G36" s="7"/>
    </row>
    <row r="37" spans="1:7" ht="15" x14ac:dyDescent="0.45">
      <c r="A37" s="46" t="s">
        <v>407</v>
      </c>
      <c r="B37" s="126" t="str">
        <f>Main!$C$86</f>
        <v/>
      </c>
      <c r="E37" s="11"/>
      <c r="G37" s="7"/>
    </row>
    <row r="38" spans="1:7" x14ac:dyDescent="0.45">
      <c r="A38" s="72">
        <f>PGAr_calc($A$6,$A$12,$A$18,$A$21,$A$24,$A$30,$D$28)</f>
        <v>0.27553066366795548</v>
      </c>
      <c r="E38" s="11"/>
      <c r="G38" s="7"/>
    </row>
    <row r="39" spans="1:7" x14ac:dyDescent="0.45">
      <c r="E39" s="11"/>
      <c r="G39" s="7"/>
    </row>
    <row r="40" spans="1:7" ht="15" x14ac:dyDescent="0.45">
      <c r="A40" s="46" t="s">
        <v>406</v>
      </c>
      <c r="B40" s="126" t="s">
        <v>408</v>
      </c>
      <c r="E40" s="11"/>
      <c r="G40" s="7"/>
    </row>
    <row r="41" spans="1:7" x14ac:dyDescent="0.45">
      <c r="A41" s="96">
        <f>IF($A$27=999,0,dz1_calc($A$15,$A$27,$A$30,D$6))</f>
        <v>9.7282058588576414E-2</v>
      </c>
      <c r="E41" s="11"/>
      <c r="G41" s="7"/>
    </row>
    <row r="42" spans="1:7" x14ac:dyDescent="0.45">
      <c r="E42" s="11"/>
      <c r="G42" s="7"/>
    </row>
    <row r="43" spans="1:7" x14ac:dyDescent="0.45">
      <c r="A43" s="135"/>
      <c r="E43" s="11"/>
      <c r="G43" s="7"/>
    </row>
    <row r="44" spans="1:7" x14ac:dyDescent="0.45">
      <c r="B44" s="138"/>
      <c r="E44" s="11"/>
      <c r="G44" s="7"/>
    </row>
    <row r="45" spans="1:7" x14ac:dyDescent="0.45">
      <c r="A45" s="70"/>
      <c r="E45" s="39"/>
      <c r="G45" s="7"/>
    </row>
    <row r="46" spans="1:7" x14ac:dyDescent="0.45">
      <c r="E46" s="39"/>
      <c r="G46" s="7"/>
    </row>
    <row r="47" spans="1:7" x14ac:dyDescent="0.45">
      <c r="E47" s="39"/>
      <c r="G47" s="7"/>
    </row>
    <row r="48" spans="1:7" x14ac:dyDescent="0.45">
      <c r="E48" s="39"/>
      <c r="G48" s="7"/>
    </row>
    <row r="49" spans="1:7" x14ac:dyDescent="0.45">
      <c r="E49" s="39"/>
      <c r="G49" s="7"/>
    </row>
    <row r="50" spans="1:7" x14ac:dyDescent="0.45">
      <c r="E50" s="39"/>
      <c r="G50" s="7"/>
    </row>
    <row r="51" spans="1:7" x14ac:dyDescent="0.45">
      <c r="E51" s="39"/>
      <c r="G51" s="7"/>
    </row>
    <row r="52" spans="1:7" x14ac:dyDescent="0.45">
      <c r="E52" s="39"/>
      <c r="G52" s="7"/>
    </row>
    <row r="53" spans="1:7" x14ac:dyDescent="0.45">
      <c r="E53" s="40"/>
      <c r="G53" s="7"/>
    </row>
    <row r="54" spans="1:7" x14ac:dyDescent="0.45">
      <c r="E54" s="40"/>
      <c r="G54" s="7"/>
    </row>
    <row r="56" spans="1:7" x14ac:dyDescent="0.45">
      <c r="A56" s="97"/>
    </row>
    <row r="57" spans="1:7" x14ac:dyDescent="0.45">
      <c r="A57" s="70"/>
    </row>
    <row r="58" spans="1:7" x14ac:dyDescent="0.45">
      <c r="A58" s="46"/>
    </row>
    <row r="59" spans="1:7" x14ac:dyDescent="0.45">
      <c r="A59" s="70"/>
    </row>
    <row r="60" spans="1:7" x14ac:dyDescent="0.45">
      <c r="A60" s="70"/>
    </row>
    <row r="61" spans="1:7" x14ac:dyDescent="0.45">
      <c r="A61" s="46"/>
    </row>
    <row r="62" spans="1:7" x14ac:dyDescent="0.45">
      <c r="A62" s="70"/>
    </row>
    <row r="63" spans="1:7" x14ac:dyDescent="0.45">
      <c r="A63" s="70"/>
    </row>
    <row r="64" spans="1:7" x14ac:dyDescent="0.45">
      <c r="A64" s="46"/>
    </row>
    <row r="65" spans="1:3" x14ac:dyDescent="0.45">
      <c r="A65" s="70"/>
    </row>
    <row r="66" spans="1:3" x14ac:dyDescent="0.45">
      <c r="A66" s="70"/>
    </row>
    <row r="67" spans="1:3" x14ac:dyDescent="0.45">
      <c r="A67" s="46"/>
    </row>
    <row r="68" spans="1:3" x14ac:dyDescent="0.45">
      <c r="A68" s="70"/>
    </row>
    <row r="69" spans="1:3" x14ac:dyDescent="0.45">
      <c r="A69" s="70"/>
    </row>
    <row r="70" spans="1:3" x14ac:dyDescent="0.45">
      <c r="A70" s="46"/>
    </row>
    <row r="71" spans="1:3" x14ac:dyDescent="0.45">
      <c r="A71" s="70"/>
    </row>
    <row r="72" spans="1:3" x14ac:dyDescent="0.45">
      <c r="A72" s="70"/>
    </row>
    <row r="73" spans="1:3" x14ac:dyDescent="0.45">
      <c r="A73" s="46"/>
    </row>
    <row r="74" spans="1:3" x14ac:dyDescent="0.45">
      <c r="A74" s="70"/>
    </row>
    <row r="75" spans="1:3" x14ac:dyDescent="0.45">
      <c r="A75" s="70"/>
    </row>
    <row r="76" spans="1:3" x14ac:dyDescent="0.45">
      <c r="A76" s="46"/>
    </row>
    <row r="77" spans="1:3" x14ac:dyDescent="0.45">
      <c r="A77" s="70"/>
    </row>
    <row r="78" spans="1:3" x14ac:dyDescent="0.45">
      <c r="A78" s="70"/>
    </row>
    <row r="79" spans="1:3" ht="26.25" x14ac:dyDescent="0.45">
      <c r="A79" s="98" t="s">
        <v>113</v>
      </c>
      <c r="B79" s="54"/>
      <c r="C79" s="5"/>
    </row>
    <row r="80" spans="1:3" x14ac:dyDescent="0.45">
      <c r="B80" s="54"/>
      <c r="C80" s="5"/>
    </row>
    <row r="81" spans="1:3" x14ac:dyDescent="0.45">
      <c r="A81" s="20" t="s">
        <v>86</v>
      </c>
      <c r="B81" s="55"/>
      <c r="C81" s="5"/>
    </row>
    <row r="82" spans="1:3" x14ac:dyDescent="0.45">
      <c r="A82" s="20" t="s">
        <v>87</v>
      </c>
      <c r="B82" s="55"/>
      <c r="C82" s="29"/>
    </row>
    <row r="83" spans="1:3" x14ac:dyDescent="0.45">
      <c r="A83" s="20" t="s">
        <v>100</v>
      </c>
      <c r="B83" s="55"/>
      <c r="C83" s="29"/>
    </row>
    <row r="84" spans="1:3" ht="14.65" x14ac:dyDescent="0.45">
      <c r="A84" s="20" t="s">
        <v>102</v>
      </c>
      <c r="B84" s="56"/>
      <c r="C84" s="29"/>
    </row>
    <row r="85" spans="1:3" x14ac:dyDescent="0.45">
      <c r="A85" s="75" t="s">
        <v>89</v>
      </c>
      <c r="B85" s="55"/>
      <c r="C85" s="29"/>
    </row>
    <row r="86" spans="1:3" ht="15" x14ac:dyDescent="0.45">
      <c r="A86" s="46" t="s">
        <v>91</v>
      </c>
      <c r="B86" s="55"/>
      <c r="C86" s="29"/>
    </row>
    <row r="87" spans="1:3" ht="15" x14ac:dyDescent="0.45">
      <c r="A87" s="46" t="s">
        <v>92</v>
      </c>
      <c r="B87" s="55"/>
      <c r="C87" s="29"/>
    </row>
    <row r="88" spans="1:3" ht="15" x14ac:dyDescent="0.45">
      <c r="A88" s="46" t="s">
        <v>93</v>
      </c>
      <c r="B88" s="56"/>
      <c r="C88" s="29"/>
    </row>
    <row r="89" spans="1:3" ht="15" x14ac:dyDescent="0.45">
      <c r="A89" s="46" t="s">
        <v>94</v>
      </c>
      <c r="B89" s="55"/>
      <c r="C89" s="29"/>
    </row>
    <row r="90" spans="1:3" ht="15" x14ac:dyDescent="0.45">
      <c r="A90" s="46" t="s">
        <v>96</v>
      </c>
      <c r="B90" s="55"/>
      <c r="C90" s="29"/>
    </row>
    <row r="91" spans="1:3" ht="15" x14ac:dyDescent="0.45">
      <c r="A91" s="46" t="s">
        <v>103</v>
      </c>
      <c r="B91" s="56"/>
      <c r="C91" s="29"/>
    </row>
    <row r="92" spans="1:3" ht="15" x14ac:dyDescent="0.45">
      <c r="A92" s="46" t="s">
        <v>99</v>
      </c>
      <c r="B92" s="56"/>
      <c r="C92" s="29"/>
    </row>
    <row r="93" spans="1:3" ht="15" x14ac:dyDescent="0.45">
      <c r="A93" s="46" t="s">
        <v>104</v>
      </c>
      <c r="B93" s="56"/>
      <c r="C93" s="29"/>
    </row>
    <row r="94" spans="1:3" ht="15" x14ac:dyDescent="0.45">
      <c r="A94" s="46" t="s">
        <v>105</v>
      </c>
      <c r="B94" s="56"/>
      <c r="C94" s="29"/>
    </row>
    <row r="95" spans="1:3" x14ac:dyDescent="0.45">
      <c r="A95" s="46" t="s">
        <v>106</v>
      </c>
      <c r="B95" s="56"/>
      <c r="C95" s="29"/>
    </row>
    <row r="96" spans="1:3" ht="15" x14ac:dyDescent="0.45">
      <c r="A96" s="22" t="s">
        <v>107</v>
      </c>
      <c r="B96" s="55"/>
      <c r="C96" s="29"/>
    </row>
    <row r="97" spans="1:3" ht="15" x14ac:dyDescent="0.45">
      <c r="A97" s="46" t="s">
        <v>108</v>
      </c>
      <c r="B97" s="55"/>
      <c r="C97" s="29"/>
    </row>
    <row r="98" spans="1:3" ht="14.65" x14ac:dyDescent="0.45">
      <c r="A98" s="20" t="s">
        <v>109</v>
      </c>
      <c r="B98" s="56"/>
      <c r="C98" s="29"/>
    </row>
    <row r="99" spans="1:3" ht="15" x14ac:dyDescent="0.45">
      <c r="A99" s="46" t="s">
        <v>110</v>
      </c>
      <c r="B99" s="56"/>
      <c r="C99" s="29"/>
    </row>
    <row r="100" spans="1:3" ht="15" x14ac:dyDescent="0.45">
      <c r="A100" s="46" t="s">
        <v>111</v>
      </c>
      <c r="B100" s="56"/>
      <c r="C100" s="29"/>
    </row>
    <row r="101" spans="1:3" ht="15" x14ac:dyDescent="0.45">
      <c r="A101" s="46" t="s">
        <v>112</v>
      </c>
      <c r="B101" s="56"/>
      <c r="C101" s="29"/>
    </row>
    <row r="102" spans="1:3" x14ac:dyDescent="0.45">
      <c r="A102" s="46"/>
    </row>
    <row r="103" spans="1:3" x14ac:dyDescent="0.45">
      <c r="A103" s="20"/>
    </row>
  </sheetData>
  <sheetProtection password="EDF4" sheet="1" objects="1" scenarios="1"/>
  <mergeCells count="3">
    <mergeCell ref="C6:C26"/>
    <mergeCell ref="C3:R3"/>
    <mergeCell ref="S4:T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Y28"/>
  <sheetViews>
    <sheetView topLeftCell="X1" workbookViewId="0">
      <selection activeCell="AJ15" sqref="AJ15"/>
    </sheetView>
  </sheetViews>
  <sheetFormatPr defaultColWidth="8.86328125" defaultRowHeight="14.25" x14ac:dyDescent="0.45"/>
  <cols>
    <col min="1" max="1" width="8.86328125" style="28"/>
    <col min="2" max="4" width="8.86328125" style="27"/>
    <col min="5" max="5" width="9.1328125" style="27" customWidth="1"/>
    <col min="6" max="7" width="8.86328125" style="27"/>
    <col min="8" max="8" width="8.86328125" style="28"/>
    <col min="9" max="15" width="8.86328125" style="27"/>
    <col min="16" max="17" width="9" style="27" bestFit="1" customWidth="1"/>
    <col min="18" max="19" width="9.265625" style="27" bestFit="1" customWidth="1"/>
    <col min="20" max="20" width="9.59765625" style="27" bestFit="1" customWidth="1"/>
    <col min="21" max="24" width="8.86328125" style="27"/>
    <col min="25" max="25" width="9.265625" style="27" bestFit="1" customWidth="1"/>
    <col min="26" max="31" width="8.86328125" style="27"/>
    <col min="32" max="32" width="8.86328125" style="29"/>
    <col min="33" max="34" width="8.86328125" style="27"/>
    <col min="35" max="42" width="8.86328125" style="29"/>
    <col min="50" max="50" width="5.3984375" customWidth="1"/>
  </cols>
  <sheetData>
    <row r="1" spans="1:51" ht="15.75" customHeight="1" x14ac:dyDescent="0.45">
      <c r="A1" s="57" t="s">
        <v>427</v>
      </c>
      <c r="AX1" s="27"/>
      <c r="AY1" s="6"/>
    </row>
    <row r="2" spans="1:51" s="114" customFormat="1" ht="15.75" customHeight="1" x14ac:dyDescent="0.35"/>
    <row r="3" spans="1:51" s="91" customFormat="1" ht="37.5" customHeight="1" x14ac:dyDescent="0.45">
      <c r="A3" s="43" t="s">
        <v>222</v>
      </c>
      <c r="B3" s="87" t="s">
        <v>223</v>
      </c>
      <c r="C3" s="87" t="s">
        <v>224</v>
      </c>
      <c r="D3" s="87" t="s">
        <v>225</v>
      </c>
      <c r="E3" s="87" t="s">
        <v>226</v>
      </c>
      <c r="F3" s="87" t="s">
        <v>227</v>
      </c>
      <c r="G3" s="87" t="s">
        <v>228</v>
      </c>
      <c r="H3" s="87" t="s">
        <v>229</v>
      </c>
      <c r="I3" s="87" t="s">
        <v>230</v>
      </c>
      <c r="J3" s="87" t="s">
        <v>231</v>
      </c>
      <c r="K3" s="87" t="s">
        <v>232</v>
      </c>
      <c r="L3" s="87" t="s">
        <v>233</v>
      </c>
      <c r="M3" s="87" t="s">
        <v>234</v>
      </c>
      <c r="N3" s="87" t="s">
        <v>235</v>
      </c>
      <c r="O3" s="87" t="s">
        <v>185</v>
      </c>
      <c r="P3" s="87" t="s">
        <v>236</v>
      </c>
      <c r="Q3" s="87" t="s">
        <v>237</v>
      </c>
      <c r="R3" s="87" t="s">
        <v>238</v>
      </c>
      <c r="S3" s="87" t="s">
        <v>70</v>
      </c>
      <c r="T3" s="87" t="s">
        <v>239</v>
      </c>
      <c r="U3" s="87" t="s">
        <v>240</v>
      </c>
      <c r="V3" s="87" t="s">
        <v>241</v>
      </c>
      <c r="W3" s="87" t="s">
        <v>242</v>
      </c>
      <c r="X3" s="87" t="s">
        <v>243</v>
      </c>
      <c r="Y3" s="87" t="s">
        <v>244</v>
      </c>
      <c r="Z3" s="87" t="s">
        <v>245</v>
      </c>
      <c r="AA3" s="87" t="s">
        <v>246</v>
      </c>
      <c r="AB3" s="87" t="s">
        <v>247</v>
      </c>
      <c r="AC3" s="87" t="s">
        <v>248</v>
      </c>
      <c r="AD3" s="88" t="s">
        <v>249</v>
      </c>
      <c r="AE3" s="88" t="s">
        <v>250</v>
      </c>
      <c r="AF3" s="87" t="s">
        <v>251</v>
      </c>
      <c r="AG3" s="87" t="s">
        <v>252</v>
      </c>
      <c r="AH3" s="87" t="s">
        <v>253</v>
      </c>
      <c r="AI3" s="87" t="s">
        <v>254</v>
      </c>
      <c r="AJ3" s="87" t="s">
        <v>255</v>
      </c>
      <c r="AK3" s="87" t="s">
        <v>256</v>
      </c>
      <c r="AL3" s="47"/>
      <c r="AM3" s="47"/>
      <c r="AN3" s="47"/>
      <c r="AO3" s="47"/>
      <c r="AP3" s="47"/>
      <c r="AQ3" s="47"/>
      <c r="AR3" s="89"/>
      <c r="AS3" s="47"/>
      <c r="AT3" s="47"/>
      <c r="AU3" s="90"/>
      <c r="AV3" s="90"/>
      <c r="AX3" s="90"/>
    </row>
    <row r="4" spans="1:51" s="396" customFormat="1" ht="15.75" customHeight="1" x14ac:dyDescent="0.45"/>
    <row r="5" spans="1:51" ht="15.75" customHeight="1" x14ac:dyDescent="0.45">
      <c r="A5" s="28">
        <v>0.01</v>
      </c>
      <c r="B5" s="58" t="s">
        <v>607</v>
      </c>
      <c r="C5" s="58" t="s">
        <v>608</v>
      </c>
      <c r="D5" s="58" t="s">
        <v>609</v>
      </c>
      <c r="E5" s="58" t="s">
        <v>610</v>
      </c>
      <c r="F5" s="58" t="s">
        <v>611</v>
      </c>
      <c r="G5" s="58" t="s">
        <v>612</v>
      </c>
      <c r="H5" s="58" t="s">
        <v>613</v>
      </c>
      <c r="I5" s="58" t="s">
        <v>614</v>
      </c>
      <c r="J5" s="58">
        <v>-1.1339999999999999</v>
      </c>
      <c r="K5" s="58">
        <v>0.19159999999999999</v>
      </c>
      <c r="L5" s="58">
        <v>-8.0879999999999997E-3</v>
      </c>
      <c r="M5" s="108" t="s">
        <v>615</v>
      </c>
      <c r="N5" s="62" t="s">
        <v>616</v>
      </c>
      <c r="O5" s="108" t="s">
        <v>615</v>
      </c>
      <c r="P5" s="248">
        <v>0</v>
      </c>
      <c r="Q5" s="248">
        <v>2.82E-3</v>
      </c>
      <c r="R5" s="248">
        <v>-2.4399999999999999E-3</v>
      </c>
      <c r="S5" s="59">
        <v>-0.60370000000000001</v>
      </c>
      <c r="T5" s="60">
        <v>1500.2</v>
      </c>
      <c r="U5" s="49">
        <v>760</v>
      </c>
      <c r="V5" s="49">
        <v>0</v>
      </c>
      <c r="W5" s="49">
        <v>0.1</v>
      </c>
      <c r="X5" s="59">
        <v>-0.14832999999999999</v>
      </c>
      <c r="Y5" s="58">
        <v>-7.0099999999999997E-3</v>
      </c>
      <c r="Z5" s="108">
        <v>-9.9</v>
      </c>
      <c r="AA5" s="108">
        <v>-9.9</v>
      </c>
      <c r="AB5" s="61">
        <v>111.67</v>
      </c>
      <c r="AC5" s="61">
        <v>270</v>
      </c>
      <c r="AD5" s="61">
        <v>9.6000000000000002E-2</v>
      </c>
      <c r="AE5" s="61">
        <v>7.0000000000000007E-2</v>
      </c>
      <c r="AF5" s="62">
        <v>225</v>
      </c>
      <c r="AG5" s="62">
        <v>300</v>
      </c>
      <c r="AH5" s="59">
        <v>0.69799999999999995</v>
      </c>
      <c r="AI5" s="59">
        <v>0.499</v>
      </c>
      <c r="AJ5" s="59">
        <v>0.40200000000000002</v>
      </c>
      <c r="AK5" s="59">
        <v>0.34499999999999997</v>
      </c>
      <c r="AL5" s="9"/>
      <c r="AM5" s="9"/>
      <c r="AN5" s="9"/>
      <c r="AO5" s="9"/>
      <c r="AP5" s="9"/>
      <c r="AQ5" s="9"/>
      <c r="AR5" s="33"/>
      <c r="AS5" s="33"/>
      <c r="AT5" s="33"/>
      <c r="AU5" s="6"/>
      <c r="AV5" s="34"/>
      <c r="AX5" s="29"/>
    </row>
    <row r="6" spans="1:51" ht="15.75" customHeight="1" x14ac:dyDescent="0.45">
      <c r="A6" s="28">
        <v>0.02</v>
      </c>
      <c r="B6" s="58" t="s">
        <v>617</v>
      </c>
      <c r="C6" s="58" t="s">
        <v>618</v>
      </c>
      <c r="D6" s="58" t="s">
        <v>619</v>
      </c>
      <c r="E6" s="58" t="s">
        <v>620</v>
      </c>
      <c r="F6" s="58" t="s">
        <v>621</v>
      </c>
      <c r="G6" s="58" t="s">
        <v>622</v>
      </c>
      <c r="H6" s="58" t="s">
        <v>623</v>
      </c>
      <c r="I6" s="58" t="s">
        <v>614</v>
      </c>
      <c r="J6" s="58">
        <v>-1.1394</v>
      </c>
      <c r="K6" s="58">
        <v>0.18962000000000001</v>
      </c>
      <c r="L6" s="58">
        <v>-8.0739999999999996E-3</v>
      </c>
      <c r="M6" s="108" t="s">
        <v>615</v>
      </c>
      <c r="N6" s="49" t="s">
        <v>616</v>
      </c>
      <c r="O6" s="108" t="s">
        <v>615</v>
      </c>
      <c r="P6" s="248">
        <v>0</v>
      </c>
      <c r="Q6" s="248">
        <v>2.7799999999999999E-3</v>
      </c>
      <c r="R6" s="248">
        <v>-2.3400000000000001E-3</v>
      </c>
      <c r="S6" s="59">
        <v>-0.57389999999999997</v>
      </c>
      <c r="T6" s="60">
        <v>1500.36</v>
      </c>
      <c r="U6" s="49">
        <v>760</v>
      </c>
      <c r="V6" s="49">
        <v>0</v>
      </c>
      <c r="W6" s="49">
        <v>0.1</v>
      </c>
      <c r="X6" s="59">
        <v>-0.14710000000000001</v>
      </c>
      <c r="Y6" s="58">
        <v>-7.28E-3</v>
      </c>
      <c r="Z6" s="108">
        <v>-9.9</v>
      </c>
      <c r="AA6" s="108">
        <v>-9.9</v>
      </c>
      <c r="AB6" s="61">
        <v>113.1</v>
      </c>
      <c r="AC6" s="61">
        <v>270</v>
      </c>
      <c r="AD6" s="61">
        <v>9.1999999999999998E-2</v>
      </c>
      <c r="AE6" s="61">
        <v>0.03</v>
      </c>
      <c r="AF6" s="62">
        <v>225</v>
      </c>
      <c r="AG6" s="62">
        <v>300</v>
      </c>
      <c r="AH6" s="59">
        <v>0.70199999999999996</v>
      </c>
      <c r="AI6" s="59">
        <v>0.502</v>
      </c>
      <c r="AJ6" s="59">
        <v>0.40899999999999997</v>
      </c>
      <c r="AK6" s="59">
        <v>0.34599999999999997</v>
      </c>
      <c r="AL6" s="9"/>
      <c r="AM6" s="9"/>
      <c r="AN6" s="9"/>
      <c r="AO6" s="9"/>
      <c r="AP6" s="9"/>
      <c r="AQ6" s="9"/>
      <c r="AU6" s="6"/>
      <c r="AV6" s="34"/>
      <c r="AX6" s="29"/>
    </row>
    <row r="7" spans="1:51" ht="15.75" customHeight="1" x14ac:dyDescent="0.45">
      <c r="A7" s="28">
        <v>0.03</v>
      </c>
      <c r="B7" s="58" t="s">
        <v>624</v>
      </c>
      <c r="C7" s="58" t="s">
        <v>625</v>
      </c>
      <c r="D7" s="58" t="s">
        <v>626</v>
      </c>
      <c r="E7" s="58" t="s">
        <v>627</v>
      </c>
      <c r="F7" s="58" t="s">
        <v>628</v>
      </c>
      <c r="G7" s="58" t="s">
        <v>629</v>
      </c>
      <c r="H7" s="58" t="s">
        <v>630</v>
      </c>
      <c r="I7" s="58" t="s">
        <v>614</v>
      </c>
      <c r="J7" s="58">
        <v>-1.1420999999999999</v>
      </c>
      <c r="K7" s="58">
        <v>0.18842</v>
      </c>
      <c r="L7" s="58">
        <v>-8.3359999999999997E-3</v>
      </c>
      <c r="M7" s="108" t="s">
        <v>615</v>
      </c>
      <c r="N7" s="49" t="s">
        <v>616</v>
      </c>
      <c r="O7" s="108" t="s">
        <v>631</v>
      </c>
      <c r="P7" s="248">
        <v>0</v>
      </c>
      <c r="Q7" s="248">
        <v>2.7599999999999999E-3</v>
      </c>
      <c r="R7" s="248">
        <v>-2.1700000000000001E-3</v>
      </c>
      <c r="S7" s="59">
        <v>-0.53410000000000002</v>
      </c>
      <c r="T7" s="60">
        <v>1502.95</v>
      </c>
      <c r="U7" s="49">
        <v>760</v>
      </c>
      <c r="V7" s="49">
        <v>0</v>
      </c>
      <c r="W7" s="49">
        <v>0.1</v>
      </c>
      <c r="X7" s="59">
        <v>-0.15484999999999999</v>
      </c>
      <c r="Y7" s="58">
        <v>-7.3499999999999998E-3</v>
      </c>
      <c r="Z7" s="108">
        <v>-9.9</v>
      </c>
      <c r="AA7" s="108">
        <v>-9.9</v>
      </c>
      <c r="AB7" s="61">
        <v>112.13</v>
      </c>
      <c r="AC7" s="61">
        <v>270</v>
      </c>
      <c r="AD7" s="61">
        <v>8.1000000000000003E-2</v>
      </c>
      <c r="AE7" s="61">
        <v>2.9000000000000001E-2</v>
      </c>
      <c r="AF7" s="62">
        <v>225</v>
      </c>
      <c r="AG7" s="62">
        <v>300</v>
      </c>
      <c r="AH7" s="59">
        <v>0.72099999999999997</v>
      </c>
      <c r="AI7" s="59">
        <v>0.51400000000000001</v>
      </c>
      <c r="AJ7" s="59">
        <v>0.44500000000000001</v>
      </c>
      <c r="AK7" s="59">
        <v>0.36399999999999999</v>
      </c>
      <c r="AL7" s="9"/>
      <c r="AM7" s="9"/>
      <c r="AN7" s="9"/>
      <c r="AO7" s="9"/>
      <c r="AP7" s="9"/>
      <c r="AQ7" s="9"/>
      <c r="AU7" s="6"/>
      <c r="AV7" s="34"/>
      <c r="AX7" s="29"/>
    </row>
    <row r="8" spans="1:51" ht="15.75" customHeight="1" x14ac:dyDescent="0.45">
      <c r="A8" s="28">
        <v>0.05</v>
      </c>
      <c r="B8" s="58" t="s">
        <v>632</v>
      </c>
      <c r="C8" s="58" t="s">
        <v>633</v>
      </c>
      <c r="D8" s="58" t="s">
        <v>634</v>
      </c>
      <c r="E8" s="58" t="s">
        <v>635</v>
      </c>
      <c r="F8" s="58" t="s">
        <v>636</v>
      </c>
      <c r="G8" s="58" t="s">
        <v>637</v>
      </c>
      <c r="H8" s="58" t="s">
        <v>638</v>
      </c>
      <c r="I8" s="58" t="s">
        <v>614</v>
      </c>
      <c r="J8" s="58">
        <v>-1.1158999999999999</v>
      </c>
      <c r="K8" s="58">
        <v>0.18709000000000001</v>
      </c>
      <c r="L8" s="58">
        <v>-9.8189999999999996E-3</v>
      </c>
      <c r="M8" s="108" t="s">
        <v>615</v>
      </c>
      <c r="N8" s="49" t="s">
        <v>616</v>
      </c>
      <c r="O8" s="108" t="s">
        <v>639</v>
      </c>
      <c r="P8" s="248">
        <v>0</v>
      </c>
      <c r="Q8" s="248">
        <v>2.96E-3</v>
      </c>
      <c r="R8" s="248">
        <v>-1.99E-3</v>
      </c>
      <c r="S8" s="59">
        <v>-0.45800000000000002</v>
      </c>
      <c r="T8" s="60">
        <v>1501.42</v>
      </c>
      <c r="U8" s="49">
        <v>760</v>
      </c>
      <c r="V8" s="49">
        <v>0</v>
      </c>
      <c r="W8" s="49">
        <v>0.1</v>
      </c>
      <c r="X8" s="59">
        <v>-0.192</v>
      </c>
      <c r="Y8" s="58">
        <v>-6.4700000000000001E-3</v>
      </c>
      <c r="Z8" s="108">
        <v>-9.9</v>
      </c>
      <c r="AA8" s="108">
        <v>-9.9</v>
      </c>
      <c r="AB8" s="61">
        <v>97.93</v>
      </c>
      <c r="AC8" s="61">
        <v>270</v>
      </c>
      <c r="AD8" s="61">
        <v>6.3E-2</v>
      </c>
      <c r="AE8" s="61">
        <v>0.03</v>
      </c>
      <c r="AF8" s="62">
        <v>225</v>
      </c>
      <c r="AG8" s="62">
        <v>300</v>
      </c>
      <c r="AH8" s="59">
        <v>0.753</v>
      </c>
      <c r="AI8" s="59">
        <v>0.53200000000000003</v>
      </c>
      <c r="AJ8" s="59">
        <v>0.503</v>
      </c>
      <c r="AK8" s="59">
        <v>0.42599999999999999</v>
      </c>
      <c r="AL8" s="9"/>
      <c r="AM8" s="9"/>
      <c r="AN8" s="9"/>
      <c r="AO8" s="9"/>
      <c r="AP8" s="9"/>
      <c r="AQ8" s="9"/>
      <c r="AU8" s="6"/>
      <c r="AV8" s="34"/>
      <c r="AX8" s="29"/>
      <c r="AY8" s="6"/>
    </row>
    <row r="9" spans="1:51" ht="15.75" customHeight="1" x14ac:dyDescent="0.45">
      <c r="A9" s="28">
        <v>7.4999999999999997E-2</v>
      </c>
      <c r="B9" s="58" t="s">
        <v>640</v>
      </c>
      <c r="C9" s="58" t="s">
        <v>641</v>
      </c>
      <c r="D9" s="58" t="s">
        <v>642</v>
      </c>
      <c r="E9" s="58" t="s">
        <v>643</v>
      </c>
      <c r="F9" s="58" t="s">
        <v>644</v>
      </c>
      <c r="G9" s="58" t="s">
        <v>645</v>
      </c>
      <c r="H9" s="58" t="s">
        <v>646</v>
      </c>
      <c r="I9" s="58" t="s">
        <v>614</v>
      </c>
      <c r="J9" s="58">
        <v>-1.0831</v>
      </c>
      <c r="K9" s="58">
        <v>0.18225</v>
      </c>
      <c r="L9" s="58">
        <v>-1.0580000000000001E-2</v>
      </c>
      <c r="M9" s="108" t="s">
        <v>615</v>
      </c>
      <c r="N9" s="49" t="s">
        <v>616</v>
      </c>
      <c r="O9" s="108" t="s">
        <v>647</v>
      </c>
      <c r="P9" s="248">
        <v>0</v>
      </c>
      <c r="Q9" s="248">
        <v>2.96E-3</v>
      </c>
      <c r="R9" s="248">
        <v>-2.16E-3</v>
      </c>
      <c r="S9" s="59">
        <v>-0.44409999999999999</v>
      </c>
      <c r="T9" s="60">
        <v>1494</v>
      </c>
      <c r="U9" s="49">
        <v>760</v>
      </c>
      <c r="V9" s="49">
        <v>0</v>
      </c>
      <c r="W9" s="49">
        <v>0.1</v>
      </c>
      <c r="X9" s="59">
        <v>-0.23499999999999999</v>
      </c>
      <c r="Y9" s="58">
        <v>-5.7299999999999999E-3</v>
      </c>
      <c r="Z9" s="108">
        <v>-9.9</v>
      </c>
      <c r="AA9" s="108">
        <v>-9.9</v>
      </c>
      <c r="AB9" s="61">
        <v>85.99</v>
      </c>
      <c r="AC9" s="61">
        <v>270.04000000000002</v>
      </c>
      <c r="AD9" s="61">
        <v>6.4000000000000001E-2</v>
      </c>
      <c r="AE9" s="61">
        <v>2.1999999999999999E-2</v>
      </c>
      <c r="AF9" s="62">
        <v>225</v>
      </c>
      <c r="AG9" s="62">
        <v>300</v>
      </c>
      <c r="AH9" s="59">
        <v>0.745</v>
      </c>
      <c r="AI9" s="59">
        <v>0.54200000000000004</v>
      </c>
      <c r="AJ9" s="59">
        <v>0.47399999999999998</v>
      </c>
      <c r="AK9" s="59">
        <v>0.46600000000000003</v>
      </c>
      <c r="AL9" s="9"/>
      <c r="AM9" s="9"/>
      <c r="AN9" s="9"/>
      <c r="AO9" s="9"/>
      <c r="AP9" s="9"/>
      <c r="AQ9" s="9"/>
      <c r="AU9" s="6"/>
      <c r="AV9" s="34"/>
      <c r="AX9" s="29"/>
    </row>
    <row r="10" spans="1:51" ht="15.75" customHeight="1" x14ac:dyDescent="0.45">
      <c r="A10" s="28">
        <v>0.1</v>
      </c>
      <c r="B10" s="58" t="s">
        <v>648</v>
      </c>
      <c r="C10" s="58" t="s">
        <v>649</v>
      </c>
      <c r="D10" s="58" t="s">
        <v>650</v>
      </c>
      <c r="E10" s="58" t="s">
        <v>651</v>
      </c>
      <c r="F10" s="58" t="s">
        <v>652</v>
      </c>
      <c r="G10" s="58" t="s">
        <v>653</v>
      </c>
      <c r="H10" s="58" t="s">
        <v>654</v>
      </c>
      <c r="I10" s="58" t="s">
        <v>655</v>
      </c>
      <c r="J10" s="58">
        <v>-1.0651999999999999</v>
      </c>
      <c r="K10" s="58">
        <v>0.17202999999999999</v>
      </c>
      <c r="L10" s="58">
        <v>-1.0200000000000001E-2</v>
      </c>
      <c r="M10" s="108" t="s">
        <v>615</v>
      </c>
      <c r="N10" s="49" t="s">
        <v>616</v>
      </c>
      <c r="O10" s="108" t="s">
        <v>656</v>
      </c>
      <c r="P10" s="248">
        <v>0</v>
      </c>
      <c r="Q10" s="248">
        <v>2.8800000000000002E-3</v>
      </c>
      <c r="R10" s="248">
        <v>-2.4399999999999999E-3</v>
      </c>
      <c r="S10" s="59">
        <v>-0.48720000000000002</v>
      </c>
      <c r="T10" s="60">
        <v>1479.12</v>
      </c>
      <c r="U10" s="49">
        <v>760</v>
      </c>
      <c r="V10" s="49">
        <v>0</v>
      </c>
      <c r="W10" s="49">
        <v>0.1</v>
      </c>
      <c r="X10" s="59">
        <v>-0.24915999999999999</v>
      </c>
      <c r="Y10" s="58">
        <v>-5.5999999999999999E-3</v>
      </c>
      <c r="Z10" s="108">
        <v>-9.9</v>
      </c>
      <c r="AA10" s="108">
        <v>-9.9</v>
      </c>
      <c r="AB10" s="61">
        <v>79.59</v>
      </c>
      <c r="AC10" s="61">
        <v>270.08999999999997</v>
      </c>
      <c r="AD10" s="61">
        <v>8.6999999999999994E-2</v>
      </c>
      <c r="AE10" s="61">
        <v>1.4E-2</v>
      </c>
      <c r="AF10" s="62">
        <v>225</v>
      </c>
      <c r="AG10" s="62">
        <v>300</v>
      </c>
      <c r="AH10" s="59">
        <v>0.72799999999999998</v>
      </c>
      <c r="AI10" s="59">
        <v>0.54100000000000004</v>
      </c>
      <c r="AJ10" s="59">
        <v>0.41499999999999998</v>
      </c>
      <c r="AK10" s="59">
        <v>0.45800000000000002</v>
      </c>
      <c r="AL10" s="9"/>
      <c r="AM10" s="9"/>
      <c r="AN10" s="9"/>
      <c r="AO10" s="9"/>
      <c r="AP10" s="9"/>
      <c r="AQ10" s="9"/>
      <c r="AU10" s="6"/>
      <c r="AV10" s="34"/>
      <c r="AX10" s="29"/>
    </row>
    <row r="11" spans="1:51" ht="15.75" customHeight="1" x14ac:dyDescent="0.45">
      <c r="A11" s="28">
        <v>0.15</v>
      </c>
      <c r="B11" s="58" t="s">
        <v>657</v>
      </c>
      <c r="C11" s="58" t="s">
        <v>658</v>
      </c>
      <c r="D11" s="58" t="s">
        <v>659</v>
      </c>
      <c r="E11" s="58" t="s">
        <v>660</v>
      </c>
      <c r="F11" s="58" t="s">
        <v>661</v>
      </c>
      <c r="G11" s="58" t="s">
        <v>662</v>
      </c>
      <c r="H11" s="58" t="s">
        <v>663</v>
      </c>
      <c r="I11" s="58" t="s">
        <v>664</v>
      </c>
      <c r="J11" s="58">
        <v>-1.0531999999999999</v>
      </c>
      <c r="K11" s="58">
        <v>0.15401000000000001</v>
      </c>
      <c r="L11" s="58">
        <v>-8.9770000000000006E-3</v>
      </c>
      <c r="M11" s="108" t="s">
        <v>615</v>
      </c>
      <c r="N11" s="49" t="s">
        <v>616</v>
      </c>
      <c r="O11" s="108" t="s">
        <v>665</v>
      </c>
      <c r="P11" s="248">
        <v>0</v>
      </c>
      <c r="Q11" s="248">
        <v>2.7899999999999999E-3</v>
      </c>
      <c r="R11" s="248">
        <v>-2.7100000000000002E-3</v>
      </c>
      <c r="S11" s="59">
        <v>-0.5796</v>
      </c>
      <c r="T11" s="60">
        <v>1442.85</v>
      </c>
      <c r="U11" s="49">
        <v>760</v>
      </c>
      <c r="V11" s="49">
        <v>0</v>
      </c>
      <c r="W11" s="49">
        <v>0.1</v>
      </c>
      <c r="X11" s="59">
        <v>-0.25713000000000003</v>
      </c>
      <c r="Y11" s="58">
        <v>-5.8500000000000002E-3</v>
      </c>
      <c r="Z11" s="108">
        <v>-9.9</v>
      </c>
      <c r="AA11" s="108">
        <v>-9.9</v>
      </c>
      <c r="AB11" s="61">
        <v>81.33</v>
      </c>
      <c r="AC11" s="61">
        <v>270.16000000000003</v>
      </c>
      <c r="AD11" s="61">
        <v>0.12</v>
      </c>
      <c r="AE11" s="61">
        <v>1.4999999999999999E-2</v>
      </c>
      <c r="AF11" s="62">
        <v>225</v>
      </c>
      <c r="AG11" s="62">
        <v>300</v>
      </c>
      <c r="AH11" s="59">
        <v>0.72</v>
      </c>
      <c r="AI11" s="59">
        <v>0.53700000000000003</v>
      </c>
      <c r="AJ11" s="59">
        <v>0.35399999999999998</v>
      </c>
      <c r="AK11" s="59">
        <v>0.38800000000000001</v>
      </c>
      <c r="AL11" s="9"/>
      <c r="AM11" s="9"/>
      <c r="AN11" s="9"/>
      <c r="AO11" s="9"/>
      <c r="AP11" s="9"/>
      <c r="AQ11" s="9"/>
      <c r="AU11" s="6"/>
      <c r="AV11" s="34"/>
      <c r="AX11" s="29"/>
    </row>
    <row r="12" spans="1:51" ht="15.75" customHeight="1" x14ac:dyDescent="0.45">
      <c r="A12" s="28">
        <v>0.2</v>
      </c>
      <c r="B12" s="58" t="s">
        <v>666</v>
      </c>
      <c r="C12" s="58" t="s">
        <v>667</v>
      </c>
      <c r="D12" s="58" t="s">
        <v>668</v>
      </c>
      <c r="E12" s="58" t="s">
        <v>669</v>
      </c>
      <c r="F12" s="58" t="s">
        <v>670</v>
      </c>
      <c r="G12" s="58" t="s">
        <v>671</v>
      </c>
      <c r="H12" s="58" t="s">
        <v>672</v>
      </c>
      <c r="I12" s="58" t="s">
        <v>673</v>
      </c>
      <c r="J12" s="58">
        <v>-1.0607</v>
      </c>
      <c r="K12" s="58">
        <v>0.14488999999999999</v>
      </c>
      <c r="L12" s="58">
        <v>-7.7169999999999999E-3</v>
      </c>
      <c r="M12" s="108" t="s">
        <v>615</v>
      </c>
      <c r="N12" s="49" t="s">
        <v>616</v>
      </c>
      <c r="O12" s="108" t="s">
        <v>674</v>
      </c>
      <c r="P12" s="248">
        <v>0</v>
      </c>
      <c r="Q12" s="248">
        <v>2.6099999999999999E-3</v>
      </c>
      <c r="R12" s="248">
        <v>-2.97E-3</v>
      </c>
      <c r="S12" s="59">
        <v>-0.68759999999999999</v>
      </c>
      <c r="T12" s="60">
        <v>1392.61</v>
      </c>
      <c r="U12" s="49">
        <v>760</v>
      </c>
      <c r="V12" s="49">
        <v>0</v>
      </c>
      <c r="W12" s="49">
        <v>0.1</v>
      </c>
      <c r="X12" s="59">
        <v>-0.24657999999999999</v>
      </c>
      <c r="Y12" s="58">
        <v>-6.1399999999999996E-3</v>
      </c>
      <c r="Z12" s="108">
        <v>-9.9</v>
      </c>
      <c r="AA12" s="108">
        <v>-9.9</v>
      </c>
      <c r="AB12" s="61">
        <v>90.91</v>
      </c>
      <c r="AC12" s="61">
        <v>270</v>
      </c>
      <c r="AD12" s="61">
        <v>0.13600000000000001</v>
      </c>
      <c r="AE12" s="61">
        <v>4.4999999999999998E-2</v>
      </c>
      <c r="AF12" s="62">
        <v>225</v>
      </c>
      <c r="AG12" s="62">
        <v>300</v>
      </c>
      <c r="AH12" s="59">
        <v>0.71099999999999997</v>
      </c>
      <c r="AI12" s="59">
        <v>0.53900000000000003</v>
      </c>
      <c r="AJ12" s="59">
        <v>0.34399999999999997</v>
      </c>
      <c r="AK12" s="59">
        <v>0.309</v>
      </c>
      <c r="AL12" s="9"/>
      <c r="AM12" s="9"/>
      <c r="AN12" s="9"/>
      <c r="AO12" s="9"/>
      <c r="AP12" s="9"/>
      <c r="AQ12" s="9"/>
      <c r="AR12" s="33"/>
      <c r="AS12" s="33"/>
      <c r="AT12" s="33"/>
      <c r="AU12" s="6"/>
      <c r="AV12" s="34"/>
      <c r="AX12" s="29"/>
    </row>
    <row r="13" spans="1:51" ht="15.75" customHeight="1" x14ac:dyDescent="0.45">
      <c r="A13" s="28">
        <v>0.25</v>
      </c>
      <c r="B13" s="58" t="s">
        <v>675</v>
      </c>
      <c r="C13" s="58" t="s">
        <v>676</v>
      </c>
      <c r="D13" s="58" t="s">
        <v>677</v>
      </c>
      <c r="E13" s="58" t="s">
        <v>678</v>
      </c>
      <c r="F13" s="58" t="s">
        <v>679</v>
      </c>
      <c r="G13" s="58" t="s">
        <v>680</v>
      </c>
      <c r="H13" s="58" t="s">
        <v>681</v>
      </c>
      <c r="I13" s="58" t="s">
        <v>682</v>
      </c>
      <c r="J13" s="58">
        <v>-1.0772999999999999</v>
      </c>
      <c r="K13" s="58">
        <v>0.13925000000000001</v>
      </c>
      <c r="L13" s="58">
        <v>-6.5170000000000002E-3</v>
      </c>
      <c r="M13" s="108" t="s">
        <v>615</v>
      </c>
      <c r="N13" s="49" t="s">
        <v>616</v>
      </c>
      <c r="O13" s="108" t="s">
        <v>683</v>
      </c>
      <c r="P13" s="248">
        <v>0</v>
      </c>
      <c r="Q13" s="248">
        <v>2.4399999999999999E-3</v>
      </c>
      <c r="R13" s="248">
        <v>-3.14E-3</v>
      </c>
      <c r="S13" s="59">
        <v>-0.77180000000000004</v>
      </c>
      <c r="T13" s="60">
        <v>1356.21</v>
      </c>
      <c r="U13" s="49">
        <v>760</v>
      </c>
      <c r="V13" s="49">
        <v>0</v>
      </c>
      <c r="W13" s="49">
        <v>0.1</v>
      </c>
      <c r="X13" s="59">
        <v>-0.23574000000000001</v>
      </c>
      <c r="Y13" s="58">
        <v>-6.4400000000000004E-3</v>
      </c>
      <c r="Z13" s="108">
        <v>-9.9</v>
      </c>
      <c r="AA13" s="108">
        <v>-9.9</v>
      </c>
      <c r="AB13" s="61">
        <v>97.04</v>
      </c>
      <c r="AC13" s="61">
        <v>269.45</v>
      </c>
      <c r="AD13" s="61">
        <v>0.14099999999999999</v>
      </c>
      <c r="AE13" s="61">
        <v>5.5E-2</v>
      </c>
      <c r="AF13" s="62">
        <v>225</v>
      </c>
      <c r="AG13" s="62">
        <v>300</v>
      </c>
      <c r="AH13" s="59">
        <v>0.69799999999999995</v>
      </c>
      <c r="AI13" s="59">
        <v>0.54700000000000004</v>
      </c>
      <c r="AJ13" s="59">
        <v>0.35</v>
      </c>
      <c r="AK13" s="59">
        <v>0.26600000000000001</v>
      </c>
      <c r="AL13" s="9"/>
      <c r="AM13" s="9"/>
      <c r="AN13" s="9"/>
      <c r="AO13" s="9"/>
      <c r="AP13" s="9"/>
      <c r="AQ13" s="9"/>
      <c r="AU13" s="29"/>
      <c r="AV13" s="7"/>
      <c r="AX13" s="29"/>
    </row>
    <row r="14" spans="1:51" ht="15.75" customHeight="1" x14ac:dyDescent="0.45">
      <c r="A14" s="28">
        <v>0.3</v>
      </c>
      <c r="B14" s="58" t="s">
        <v>684</v>
      </c>
      <c r="C14" s="58" t="s">
        <v>685</v>
      </c>
      <c r="D14" s="58" t="s">
        <v>686</v>
      </c>
      <c r="E14" s="58" t="s">
        <v>687</v>
      </c>
      <c r="F14" s="58" t="s">
        <v>688</v>
      </c>
      <c r="G14" s="58" t="s">
        <v>689</v>
      </c>
      <c r="H14" s="58" t="s">
        <v>690</v>
      </c>
      <c r="I14" s="58" t="s">
        <v>691</v>
      </c>
      <c r="J14" s="58">
        <v>-1.0948</v>
      </c>
      <c r="K14" s="58">
        <v>0.13388</v>
      </c>
      <c r="L14" s="58">
        <v>-5.4749999999999998E-3</v>
      </c>
      <c r="M14" s="108" t="s">
        <v>615</v>
      </c>
      <c r="N14" s="49" t="s">
        <v>616</v>
      </c>
      <c r="O14" s="108" t="s">
        <v>692</v>
      </c>
      <c r="P14" s="248">
        <v>0</v>
      </c>
      <c r="Q14" s="248">
        <v>2.2000000000000001E-3</v>
      </c>
      <c r="R14" s="248">
        <v>-3.3E-3</v>
      </c>
      <c r="S14" s="59">
        <v>-0.8417</v>
      </c>
      <c r="T14" s="60">
        <v>1308.47</v>
      </c>
      <c r="U14" s="49">
        <v>760</v>
      </c>
      <c r="V14" s="49">
        <v>0</v>
      </c>
      <c r="W14" s="49">
        <v>0.1</v>
      </c>
      <c r="X14" s="59">
        <v>-0.21912000000000001</v>
      </c>
      <c r="Y14" s="58">
        <v>-6.7000000000000002E-3</v>
      </c>
      <c r="Z14" s="108">
        <v>-9.9</v>
      </c>
      <c r="AA14" s="108">
        <v>-9.9</v>
      </c>
      <c r="AB14" s="61">
        <v>103.15</v>
      </c>
      <c r="AC14" s="61">
        <v>268.58999999999997</v>
      </c>
      <c r="AD14" s="61">
        <v>0.13800000000000001</v>
      </c>
      <c r="AE14" s="61">
        <v>0.05</v>
      </c>
      <c r="AF14" s="62">
        <v>225</v>
      </c>
      <c r="AG14" s="62">
        <v>300</v>
      </c>
      <c r="AH14" s="59">
        <v>0.67500000000000004</v>
      </c>
      <c r="AI14" s="59">
        <v>0.56100000000000005</v>
      </c>
      <c r="AJ14" s="59">
        <v>0.36299999999999999</v>
      </c>
      <c r="AK14" s="59">
        <v>0.22900000000000001</v>
      </c>
      <c r="AL14" s="9"/>
      <c r="AM14" s="9"/>
      <c r="AN14" s="9"/>
      <c r="AO14" s="9"/>
      <c r="AP14" s="9"/>
      <c r="AQ14" s="9"/>
      <c r="AU14" s="29"/>
      <c r="AV14" s="7"/>
      <c r="AX14" s="29"/>
      <c r="AY14" s="6"/>
    </row>
    <row r="15" spans="1:51" ht="15.75" customHeight="1" x14ac:dyDescent="0.45">
      <c r="A15" s="28">
        <v>0.4</v>
      </c>
      <c r="B15" s="58" t="s">
        <v>693</v>
      </c>
      <c r="C15" s="58" t="s">
        <v>694</v>
      </c>
      <c r="D15" s="58" t="s">
        <v>695</v>
      </c>
      <c r="E15" s="58" t="s">
        <v>696</v>
      </c>
      <c r="F15" s="58" t="s">
        <v>697</v>
      </c>
      <c r="G15" s="58" t="s">
        <v>698</v>
      </c>
      <c r="H15" s="58" t="s">
        <v>699</v>
      </c>
      <c r="I15" s="58" t="s">
        <v>700</v>
      </c>
      <c r="J15" s="58">
        <v>-1.1243000000000001</v>
      </c>
      <c r="K15" s="58">
        <v>0.12512000000000001</v>
      </c>
      <c r="L15" s="58">
        <v>-4.0530000000000002E-3</v>
      </c>
      <c r="M15" s="108" t="s">
        <v>615</v>
      </c>
      <c r="N15" s="49" t="s">
        <v>616</v>
      </c>
      <c r="O15" s="108" t="s">
        <v>701</v>
      </c>
      <c r="P15" s="248">
        <v>0</v>
      </c>
      <c r="Q15" s="248">
        <v>2.1099999999999999E-3</v>
      </c>
      <c r="R15" s="248">
        <v>-3.2100000000000002E-3</v>
      </c>
      <c r="S15" s="59">
        <v>-0.91090000000000004</v>
      </c>
      <c r="T15" s="60">
        <v>1252.6600000000001</v>
      </c>
      <c r="U15" s="49">
        <v>760</v>
      </c>
      <c r="V15" s="49">
        <v>0</v>
      </c>
      <c r="W15" s="49">
        <v>0.1</v>
      </c>
      <c r="X15" s="59">
        <v>-0.19581999999999999</v>
      </c>
      <c r="Y15" s="58">
        <v>-7.1300000000000001E-3</v>
      </c>
      <c r="Z15" s="108">
        <v>-9.9</v>
      </c>
      <c r="AA15" s="108">
        <v>-9.9</v>
      </c>
      <c r="AB15" s="61">
        <v>106.02</v>
      </c>
      <c r="AC15" s="61">
        <v>266.54000000000002</v>
      </c>
      <c r="AD15" s="61">
        <v>0.122</v>
      </c>
      <c r="AE15" s="61">
        <v>4.9000000000000002E-2</v>
      </c>
      <c r="AF15" s="62">
        <v>225</v>
      </c>
      <c r="AG15" s="62">
        <v>300</v>
      </c>
      <c r="AH15" s="59">
        <v>0.64300000000000002</v>
      </c>
      <c r="AI15" s="59">
        <v>0.57999999999999996</v>
      </c>
      <c r="AJ15" s="59">
        <v>0.38100000000000001</v>
      </c>
      <c r="AK15" s="59">
        <v>0.21</v>
      </c>
      <c r="AL15" s="9"/>
      <c r="AM15" s="9"/>
      <c r="AN15" s="9"/>
      <c r="AO15" s="9"/>
      <c r="AP15" s="9"/>
      <c r="AQ15" s="9"/>
      <c r="AU15" s="29"/>
      <c r="AV15" s="7"/>
      <c r="AX15" s="29"/>
    </row>
    <row r="16" spans="1:51" ht="15.75" customHeight="1" x14ac:dyDescent="0.45">
      <c r="A16" s="28">
        <v>0.5</v>
      </c>
      <c r="B16" s="58" t="s">
        <v>702</v>
      </c>
      <c r="C16" s="58" t="s">
        <v>703</v>
      </c>
      <c r="D16" s="58" t="s">
        <v>704</v>
      </c>
      <c r="E16" s="58" t="s">
        <v>705</v>
      </c>
      <c r="F16" s="58" t="s">
        <v>706</v>
      </c>
      <c r="G16" s="58" t="s">
        <v>707</v>
      </c>
      <c r="H16" s="58" t="s">
        <v>708</v>
      </c>
      <c r="I16" s="58" t="s">
        <v>700</v>
      </c>
      <c r="J16" s="58">
        <v>-1.1458999999999999</v>
      </c>
      <c r="K16" s="58">
        <v>0.12015000000000001</v>
      </c>
      <c r="L16" s="58">
        <v>-3.2200000000000002E-3</v>
      </c>
      <c r="M16" s="108" t="s">
        <v>615</v>
      </c>
      <c r="N16" s="49" t="s">
        <v>616</v>
      </c>
      <c r="O16" s="108" t="s">
        <v>709</v>
      </c>
      <c r="P16" s="248">
        <v>0</v>
      </c>
      <c r="Q16" s="248">
        <v>2.3500000000000001E-3</v>
      </c>
      <c r="R16" s="248">
        <v>-2.9099999999999998E-3</v>
      </c>
      <c r="S16" s="59">
        <v>-0.96930000000000005</v>
      </c>
      <c r="T16" s="60">
        <v>1203.9100000000001</v>
      </c>
      <c r="U16" s="49">
        <v>760</v>
      </c>
      <c r="V16" s="49">
        <v>0</v>
      </c>
      <c r="W16" s="49">
        <v>0.1</v>
      </c>
      <c r="X16" s="59">
        <v>-0.17499999999999999</v>
      </c>
      <c r="Y16" s="58">
        <v>-7.4400000000000004E-3</v>
      </c>
      <c r="Z16" s="108">
        <v>-9.9</v>
      </c>
      <c r="AA16" s="108">
        <v>-9.9</v>
      </c>
      <c r="AB16" s="61">
        <v>105.54</v>
      </c>
      <c r="AC16" s="61">
        <v>265</v>
      </c>
      <c r="AD16" s="61">
        <v>0.109</v>
      </c>
      <c r="AE16" s="61">
        <v>0.06</v>
      </c>
      <c r="AF16" s="62">
        <v>225</v>
      </c>
      <c r="AG16" s="62">
        <v>300</v>
      </c>
      <c r="AH16" s="59">
        <v>0.61499999999999999</v>
      </c>
      <c r="AI16" s="59">
        <v>0.59899999999999998</v>
      </c>
      <c r="AJ16" s="59">
        <v>0.41</v>
      </c>
      <c r="AK16" s="59">
        <v>0.224</v>
      </c>
      <c r="AL16" s="9"/>
      <c r="AM16" s="9"/>
      <c r="AN16" s="9"/>
      <c r="AO16" s="9"/>
      <c r="AP16" s="9"/>
      <c r="AQ16" s="9"/>
      <c r="AU16" s="29"/>
      <c r="AV16" s="7"/>
      <c r="AX16" s="29"/>
    </row>
    <row r="17" spans="1:51" ht="15.75" customHeight="1" x14ac:dyDescent="0.45">
      <c r="A17" s="28">
        <v>0.75</v>
      </c>
      <c r="B17" s="58" t="s">
        <v>710</v>
      </c>
      <c r="C17" s="58" t="s">
        <v>711</v>
      </c>
      <c r="D17" s="58" t="s">
        <v>712</v>
      </c>
      <c r="E17" s="58" t="s">
        <v>713</v>
      </c>
      <c r="F17" s="58" t="s">
        <v>714</v>
      </c>
      <c r="G17" s="58" t="s">
        <v>715</v>
      </c>
      <c r="H17" s="58" t="s">
        <v>716</v>
      </c>
      <c r="I17" s="58" t="s">
        <v>700</v>
      </c>
      <c r="J17" s="58">
        <v>-1.1777</v>
      </c>
      <c r="K17" s="58">
        <v>0.11054</v>
      </c>
      <c r="L17" s="58">
        <v>-1.931E-3</v>
      </c>
      <c r="M17" s="108" t="s">
        <v>615</v>
      </c>
      <c r="N17" s="49" t="s">
        <v>616</v>
      </c>
      <c r="O17" s="108" t="s">
        <v>717</v>
      </c>
      <c r="P17" s="248">
        <v>0</v>
      </c>
      <c r="Q17" s="248">
        <v>2.6900000000000001E-3</v>
      </c>
      <c r="R17" s="248">
        <v>-2.5300000000000001E-3</v>
      </c>
      <c r="S17" s="59">
        <v>-1.0154000000000001</v>
      </c>
      <c r="T17" s="60">
        <v>1147.5899999999999</v>
      </c>
      <c r="U17" s="49">
        <v>760</v>
      </c>
      <c r="V17" s="49">
        <v>0</v>
      </c>
      <c r="W17" s="49">
        <v>0.1</v>
      </c>
      <c r="X17" s="59">
        <v>-0.13866000000000001</v>
      </c>
      <c r="Y17" s="58">
        <v>-8.1200000000000005E-3</v>
      </c>
      <c r="Z17" s="61">
        <v>9.1999999999999998E-2</v>
      </c>
      <c r="AA17" s="61">
        <v>5.8999999999999997E-2</v>
      </c>
      <c r="AB17" s="61">
        <v>108.39</v>
      </c>
      <c r="AC17" s="61">
        <v>266.51</v>
      </c>
      <c r="AD17" s="61">
        <v>0.1</v>
      </c>
      <c r="AE17" s="61">
        <v>7.0000000000000007E-2</v>
      </c>
      <c r="AF17" s="62">
        <v>225</v>
      </c>
      <c r="AG17" s="62">
        <v>300</v>
      </c>
      <c r="AH17" s="59">
        <v>0.58099999999999996</v>
      </c>
      <c r="AI17" s="59">
        <v>0.622</v>
      </c>
      <c r="AJ17" s="59">
        <v>0.45700000000000002</v>
      </c>
      <c r="AK17" s="59">
        <v>0.26600000000000001</v>
      </c>
      <c r="AL17" s="9"/>
      <c r="AM17" s="9"/>
      <c r="AN17" s="9"/>
      <c r="AO17" s="9"/>
      <c r="AP17" s="9"/>
      <c r="AQ17" s="9"/>
      <c r="AU17" s="29"/>
      <c r="AV17" s="7"/>
      <c r="AX17" s="29"/>
    </row>
    <row r="18" spans="1:51" ht="15.75" customHeight="1" x14ac:dyDescent="0.45">
      <c r="A18" s="3">
        <v>1</v>
      </c>
      <c r="B18" s="58" t="s">
        <v>718</v>
      </c>
      <c r="C18" s="58" t="s">
        <v>719</v>
      </c>
      <c r="D18" s="58" t="s">
        <v>720</v>
      </c>
      <c r="E18" s="58" t="s">
        <v>721</v>
      </c>
      <c r="F18" s="58" t="s">
        <v>722</v>
      </c>
      <c r="G18" s="58" t="s">
        <v>723</v>
      </c>
      <c r="H18" s="58" t="s">
        <v>724</v>
      </c>
      <c r="I18" s="58" t="s">
        <v>700</v>
      </c>
      <c r="J18" s="58">
        <v>-1.1930000000000001</v>
      </c>
      <c r="K18" s="58">
        <v>0.10248</v>
      </c>
      <c r="L18" s="58">
        <v>-1.2099999999999999E-3</v>
      </c>
      <c r="M18" s="108" t="s">
        <v>615</v>
      </c>
      <c r="N18" s="49" t="s">
        <v>616</v>
      </c>
      <c r="O18" s="108" t="s">
        <v>664</v>
      </c>
      <c r="P18" s="248">
        <v>0</v>
      </c>
      <c r="Q18" s="248">
        <v>2.9199999999999999E-3</v>
      </c>
      <c r="R18" s="248">
        <v>-2.0899999999999998E-3</v>
      </c>
      <c r="S18" s="59">
        <v>-1.05</v>
      </c>
      <c r="T18" s="60">
        <v>1109.95</v>
      </c>
      <c r="U18" s="49">
        <v>760</v>
      </c>
      <c r="V18" s="49">
        <v>0</v>
      </c>
      <c r="W18" s="49">
        <v>0.1</v>
      </c>
      <c r="X18" s="59">
        <v>-0.10521</v>
      </c>
      <c r="Y18" s="58">
        <v>-8.4399999999999996E-3</v>
      </c>
      <c r="Z18" s="61">
        <v>0.36699999999999999</v>
      </c>
      <c r="AA18" s="61">
        <v>0.20799999999999999</v>
      </c>
      <c r="AB18" s="61">
        <v>116.39</v>
      </c>
      <c r="AC18" s="61">
        <v>270</v>
      </c>
      <c r="AD18" s="61">
        <v>9.8000000000000004E-2</v>
      </c>
      <c r="AE18" s="61">
        <v>0.02</v>
      </c>
      <c r="AF18" s="62">
        <v>225</v>
      </c>
      <c r="AG18" s="62">
        <v>300</v>
      </c>
      <c r="AH18" s="59">
        <v>0.55300000000000005</v>
      </c>
      <c r="AI18" s="59">
        <v>0.625</v>
      </c>
      <c r="AJ18" s="59">
        <v>0.498</v>
      </c>
      <c r="AK18" s="59">
        <v>0.29799999999999999</v>
      </c>
      <c r="AL18" s="9"/>
      <c r="AM18" s="9"/>
      <c r="AN18" s="9"/>
      <c r="AO18" s="9"/>
      <c r="AP18" s="9"/>
      <c r="AQ18" s="9"/>
      <c r="AR18" s="33"/>
      <c r="AS18" s="33"/>
      <c r="AT18" s="33"/>
      <c r="AU18" s="29"/>
      <c r="AV18" s="6"/>
      <c r="AX18" s="29"/>
    </row>
    <row r="19" spans="1:51" ht="15.75" customHeight="1" x14ac:dyDescent="0.45">
      <c r="A19" s="28">
        <v>1.5</v>
      </c>
      <c r="B19" s="58" t="s">
        <v>725</v>
      </c>
      <c r="C19" s="58" t="s">
        <v>726</v>
      </c>
      <c r="D19" s="58" t="s">
        <v>727</v>
      </c>
      <c r="E19" s="58" t="s">
        <v>728</v>
      </c>
      <c r="F19" s="58" t="s">
        <v>729</v>
      </c>
      <c r="G19" s="58" t="s">
        <v>730</v>
      </c>
      <c r="H19" s="58" t="s">
        <v>731</v>
      </c>
      <c r="I19" s="58" t="s">
        <v>700</v>
      </c>
      <c r="J19" s="58">
        <v>-1.2062999999999999</v>
      </c>
      <c r="K19" s="58">
        <v>9.6449999999999994E-2</v>
      </c>
      <c r="L19" s="58">
        <v>-3.6499999999999998E-4</v>
      </c>
      <c r="M19" s="108" t="s">
        <v>615</v>
      </c>
      <c r="N19" s="49" t="s">
        <v>616</v>
      </c>
      <c r="O19" s="108" t="s">
        <v>732</v>
      </c>
      <c r="P19" s="248">
        <v>0</v>
      </c>
      <c r="Q19" s="248">
        <v>3.0400000000000002E-3</v>
      </c>
      <c r="R19" s="248">
        <v>-1.5200000000000001E-3</v>
      </c>
      <c r="S19" s="59">
        <v>-1.0454000000000001</v>
      </c>
      <c r="T19" s="60">
        <v>1072.3900000000001</v>
      </c>
      <c r="U19" s="49">
        <v>760</v>
      </c>
      <c r="V19" s="49">
        <v>0</v>
      </c>
      <c r="W19" s="49">
        <v>0.1</v>
      </c>
      <c r="X19" s="59">
        <v>-6.2E-2</v>
      </c>
      <c r="Y19" s="58">
        <v>-7.7099999999999998E-3</v>
      </c>
      <c r="Z19" s="61">
        <v>0.63800000000000001</v>
      </c>
      <c r="AA19" s="61">
        <v>0.309</v>
      </c>
      <c r="AB19" s="61">
        <v>125.38</v>
      </c>
      <c r="AC19" s="61">
        <v>262.41000000000003</v>
      </c>
      <c r="AD19" s="61">
        <v>0.104</v>
      </c>
      <c r="AE19" s="61">
        <v>0.01</v>
      </c>
      <c r="AF19" s="62">
        <v>225</v>
      </c>
      <c r="AG19" s="62">
        <v>300</v>
      </c>
      <c r="AH19" s="59">
        <v>0.53200000000000003</v>
      </c>
      <c r="AI19" s="59">
        <v>0.61899999999999999</v>
      </c>
      <c r="AJ19" s="59">
        <v>0.52500000000000002</v>
      </c>
      <c r="AK19" s="59">
        <v>0.315</v>
      </c>
      <c r="AL19" s="9"/>
      <c r="AM19" s="9"/>
      <c r="AN19" s="9"/>
      <c r="AO19" s="9"/>
      <c r="AP19" s="9"/>
      <c r="AQ19" s="9"/>
      <c r="AU19" s="29"/>
      <c r="AV19" s="6"/>
      <c r="AX19" s="29"/>
    </row>
    <row r="20" spans="1:51" ht="15.75" customHeight="1" x14ac:dyDescent="0.45">
      <c r="A20" s="28">
        <v>2</v>
      </c>
      <c r="B20" s="58" t="s">
        <v>733</v>
      </c>
      <c r="C20" s="58" t="s">
        <v>734</v>
      </c>
      <c r="D20" s="58" t="s">
        <v>735</v>
      </c>
      <c r="E20" s="58" t="s">
        <v>736</v>
      </c>
      <c r="F20" s="58" t="s">
        <v>737</v>
      </c>
      <c r="G20" s="58" t="s">
        <v>738</v>
      </c>
      <c r="H20" s="58" t="s">
        <v>739</v>
      </c>
      <c r="I20" s="58" t="s">
        <v>700</v>
      </c>
      <c r="J20" s="58">
        <v>-1.2159</v>
      </c>
      <c r="K20" s="58">
        <v>9.6360000000000001E-2</v>
      </c>
      <c r="L20" s="58">
        <v>0</v>
      </c>
      <c r="M20" s="108" t="s">
        <v>615</v>
      </c>
      <c r="N20" s="49" t="s">
        <v>616</v>
      </c>
      <c r="O20" s="108" t="s">
        <v>740</v>
      </c>
      <c r="P20" s="248">
        <v>0</v>
      </c>
      <c r="Q20" s="248">
        <v>2.9199999999999999E-3</v>
      </c>
      <c r="R20" s="248">
        <v>-1.17E-3</v>
      </c>
      <c r="S20" s="59">
        <v>-1.0391999999999999</v>
      </c>
      <c r="T20" s="60">
        <v>1009.49</v>
      </c>
      <c r="U20" s="49">
        <v>760</v>
      </c>
      <c r="V20" s="49">
        <v>0</v>
      </c>
      <c r="W20" s="49">
        <v>0.1</v>
      </c>
      <c r="X20" s="59">
        <v>-3.6136000000000001E-2</v>
      </c>
      <c r="Y20" s="58">
        <v>-4.79E-3</v>
      </c>
      <c r="Z20" s="61">
        <v>0.871</v>
      </c>
      <c r="AA20" s="61">
        <v>0.38200000000000001</v>
      </c>
      <c r="AB20" s="61">
        <v>130.37</v>
      </c>
      <c r="AC20" s="61">
        <v>240.14</v>
      </c>
      <c r="AD20" s="61">
        <v>0.105</v>
      </c>
      <c r="AE20" s="61">
        <v>8.0000000000000002E-3</v>
      </c>
      <c r="AF20" s="62">
        <v>225</v>
      </c>
      <c r="AG20" s="62">
        <v>300</v>
      </c>
      <c r="AH20" s="59">
        <v>0.52600000000000002</v>
      </c>
      <c r="AI20" s="59">
        <v>0.61799999999999999</v>
      </c>
      <c r="AJ20" s="59">
        <v>0.53200000000000003</v>
      </c>
      <c r="AK20" s="59">
        <v>0.32900000000000001</v>
      </c>
      <c r="AL20" s="9"/>
      <c r="AM20" s="9"/>
      <c r="AN20" s="9"/>
      <c r="AO20" s="9"/>
      <c r="AP20" s="9"/>
      <c r="AQ20" s="9"/>
      <c r="AU20" s="29"/>
      <c r="AV20" s="6"/>
      <c r="AX20" s="29"/>
    </row>
    <row r="21" spans="1:51" ht="15.75" customHeight="1" x14ac:dyDescent="0.45">
      <c r="A21" s="28">
        <v>3</v>
      </c>
      <c r="B21" s="58" t="s">
        <v>741</v>
      </c>
      <c r="C21" s="58" t="s">
        <v>742</v>
      </c>
      <c r="D21" s="58" t="s">
        <v>743</v>
      </c>
      <c r="E21" s="58" t="s">
        <v>744</v>
      </c>
      <c r="F21" s="58" t="s">
        <v>745</v>
      </c>
      <c r="G21" s="58" t="s">
        <v>746</v>
      </c>
      <c r="H21" s="58" t="s">
        <v>747</v>
      </c>
      <c r="I21" s="58" t="s">
        <v>700</v>
      </c>
      <c r="J21" s="58">
        <v>-1.2179</v>
      </c>
      <c r="K21" s="58">
        <v>9.7640000000000005E-2</v>
      </c>
      <c r="L21" s="58">
        <v>0</v>
      </c>
      <c r="M21" s="108" t="s">
        <v>615</v>
      </c>
      <c r="N21" s="49" t="s">
        <v>616</v>
      </c>
      <c r="O21" s="108" t="s">
        <v>748</v>
      </c>
      <c r="P21" s="248">
        <v>0</v>
      </c>
      <c r="Q21" s="248">
        <v>2.6199999999999999E-3</v>
      </c>
      <c r="R21" s="248">
        <v>-1.1900000000000001E-3</v>
      </c>
      <c r="S21" s="59">
        <v>-1.0112000000000001</v>
      </c>
      <c r="T21" s="60">
        <v>922.43</v>
      </c>
      <c r="U21" s="49">
        <v>760</v>
      </c>
      <c r="V21" s="49">
        <v>0</v>
      </c>
      <c r="W21" s="49">
        <v>0.1</v>
      </c>
      <c r="X21" s="59">
        <v>-1.3577000000000001E-2</v>
      </c>
      <c r="Y21" s="58">
        <v>-1.83E-3</v>
      </c>
      <c r="Z21" s="61">
        <v>1.135</v>
      </c>
      <c r="AA21" s="61">
        <v>0.51600000000000001</v>
      </c>
      <c r="AB21" s="61">
        <v>130.36000000000001</v>
      </c>
      <c r="AC21" s="61">
        <v>195</v>
      </c>
      <c r="AD21" s="61">
        <v>8.7999999999999995E-2</v>
      </c>
      <c r="AE21" s="61">
        <v>0</v>
      </c>
      <c r="AF21" s="62">
        <v>225</v>
      </c>
      <c r="AG21" s="62">
        <v>300</v>
      </c>
      <c r="AH21" s="59">
        <v>0.53400000000000003</v>
      </c>
      <c r="AI21" s="59">
        <v>0.61899999999999999</v>
      </c>
      <c r="AJ21" s="59">
        <v>0.53700000000000003</v>
      </c>
      <c r="AK21" s="59">
        <v>0.34399999999999997</v>
      </c>
      <c r="AL21" s="9"/>
      <c r="AM21" s="9"/>
      <c r="AN21" s="9"/>
      <c r="AO21" s="9"/>
      <c r="AP21" s="9"/>
      <c r="AQ21" s="9"/>
      <c r="AU21" s="29"/>
      <c r="AV21" s="6"/>
      <c r="AX21" s="29"/>
    </row>
    <row r="22" spans="1:51" ht="15.75" customHeight="1" x14ac:dyDescent="0.45">
      <c r="A22" s="28">
        <v>4</v>
      </c>
      <c r="B22" s="58" t="s">
        <v>749</v>
      </c>
      <c r="C22" s="58" t="s">
        <v>750</v>
      </c>
      <c r="D22" s="58" t="s">
        <v>751</v>
      </c>
      <c r="E22" s="58" t="s">
        <v>752</v>
      </c>
      <c r="F22" s="58" t="s">
        <v>753</v>
      </c>
      <c r="G22" s="58" t="s">
        <v>754</v>
      </c>
      <c r="H22" s="58" t="s">
        <v>755</v>
      </c>
      <c r="I22" s="58" t="s">
        <v>700</v>
      </c>
      <c r="J22" s="58">
        <v>-1.2161999999999999</v>
      </c>
      <c r="K22" s="58">
        <v>0.10218000000000001</v>
      </c>
      <c r="L22" s="58">
        <v>-5.1999999999999997E-5</v>
      </c>
      <c r="M22" s="108" t="s">
        <v>615</v>
      </c>
      <c r="N22" s="49" t="s">
        <v>616</v>
      </c>
      <c r="O22" s="108" t="s">
        <v>756</v>
      </c>
      <c r="P22" s="248">
        <v>0</v>
      </c>
      <c r="Q22" s="248">
        <v>2.6099999999999999E-3</v>
      </c>
      <c r="R22" s="248">
        <v>-1.08E-3</v>
      </c>
      <c r="S22" s="59">
        <v>-0.96940000000000004</v>
      </c>
      <c r="T22" s="60">
        <v>844.48</v>
      </c>
      <c r="U22" s="49">
        <v>760</v>
      </c>
      <c r="V22" s="49">
        <v>0</v>
      </c>
      <c r="W22" s="49">
        <v>0.1</v>
      </c>
      <c r="X22" s="59">
        <v>-3.2123E-3</v>
      </c>
      <c r="Y22" s="58">
        <v>-1.5200000000000001E-3</v>
      </c>
      <c r="Z22" s="61">
        <v>1.2709999999999999</v>
      </c>
      <c r="AA22" s="61">
        <v>0.629</v>
      </c>
      <c r="AB22" s="61">
        <v>129.49</v>
      </c>
      <c r="AC22" s="61">
        <v>199.45</v>
      </c>
      <c r="AD22" s="61">
        <v>7.0000000000000007E-2</v>
      </c>
      <c r="AE22" s="61">
        <v>0</v>
      </c>
      <c r="AF22" s="62">
        <v>225</v>
      </c>
      <c r="AG22" s="62">
        <v>300</v>
      </c>
      <c r="AH22" s="59">
        <v>0.53600000000000003</v>
      </c>
      <c r="AI22" s="59">
        <v>0.61599999999999999</v>
      </c>
      <c r="AJ22" s="59">
        <v>0.54300000000000004</v>
      </c>
      <c r="AK22" s="59">
        <v>0.34899999999999998</v>
      </c>
      <c r="AL22" s="9"/>
      <c r="AM22" s="9"/>
      <c r="AN22" s="9"/>
      <c r="AO22" s="9"/>
      <c r="AP22" s="9"/>
      <c r="AQ22" s="9"/>
      <c r="AU22" s="29"/>
      <c r="AV22" s="6"/>
      <c r="AX22" s="27"/>
      <c r="AY22" s="6"/>
    </row>
    <row r="23" spans="1:51" ht="15.75" customHeight="1" x14ac:dyDescent="0.45">
      <c r="A23" s="28">
        <v>5</v>
      </c>
      <c r="B23" s="58" t="s">
        <v>757</v>
      </c>
      <c r="C23" s="58" t="s">
        <v>758</v>
      </c>
      <c r="D23" s="58" t="s">
        <v>759</v>
      </c>
      <c r="E23" s="58" t="s">
        <v>760</v>
      </c>
      <c r="F23" s="58" t="s">
        <v>761</v>
      </c>
      <c r="G23" s="58" t="s">
        <v>762</v>
      </c>
      <c r="H23" s="58" t="s">
        <v>763</v>
      </c>
      <c r="I23" s="58" t="s">
        <v>700</v>
      </c>
      <c r="J23" s="58">
        <v>-1.2189000000000001</v>
      </c>
      <c r="K23" s="58">
        <v>0.10353</v>
      </c>
      <c r="L23" s="58">
        <v>0</v>
      </c>
      <c r="M23" s="108" t="s">
        <v>615</v>
      </c>
      <c r="N23" s="49" t="s">
        <v>616</v>
      </c>
      <c r="O23" s="108" t="s">
        <v>764</v>
      </c>
      <c r="P23" s="248">
        <v>0</v>
      </c>
      <c r="Q23" s="248">
        <v>2.5999999999999999E-3</v>
      </c>
      <c r="R23" s="248">
        <v>-5.6999999999999998E-4</v>
      </c>
      <c r="S23" s="59">
        <v>-0.91949999999999998</v>
      </c>
      <c r="T23" s="60">
        <v>793.13</v>
      </c>
      <c r="U23" s="49">
        <v>760</v>
      </c>
      <c r="V23" s="49">
        <v>0</v>
      </c>
      <c r="W23" s="49">
        <v>0.1</v>
      </c>
      <c r="X23" s="59">
        <v>-2.5480000000000001E-4</v>
      </c>
      <c r="Y23" s="58">
        <v>-1.4400000000000001E-3</v>
      </c>
      <c r="Z23" s="61">
        <v>1.329</v>
      </c>
      <c r="AA23" s="61">
        <v>0.73799999999999999</v>
      </c>
      <c r="AB23" s="61">
        <v>130.22</v>
      </c>
      <c r="AC23" s="61">
        <v>230</v>
      </c>
      <c r="AD23" s="61">
        <v>6.0999999999999999E-2</v>
      </c>
      <c r="AE23" s="61">
        <v>0</v>
      </c>
      <c r="AF23" s="62">
        <v>225</v>
      </c>
      <c r="AG23" s="62">
        <v>300</v>
      </c>
      <c r="AH23" s="59">
        <v>0.52800000000000002</v>
      </c>
      <c r="AI23" s="59">
        <v>0.622</v>
      </c>
      <c r="AJ23" s="59">
        <v>0.53200000000000003</v>
      </c>
      <c r="AK23" s="59">
        <v>0.33500000000000002</v>
      </c>
      <c r="AL23" s="9"/>
      <c r="AM23" s="9"/>
      <c r="AN23" s="9"/>
      <c r="AO23" s="9"/>
      <c r="AP23" s="9"/>
      <c r="AQ23" s="9"/>
      <c r="AU23" s="29"/>
      <c r="AV23" s="6"/>
    </row>
    <row r="24" spans="1:51" ht="15.75" customHeight="1" x14ac:dyDescent="0.45">
      <c r="A24" s="28">
        <v>7.5</v>
      </c>
      <c r="B24" s="58" t="s">
        <v>765</v>
      </c>
      <c r="C24" s="58" t="s">
        <v>766</v>
      </c>
      <c r="D24" s="58" t="s">
        <v>767</v>
      </c>
      <c r="E24" s="58" t="s">
        <v>768</v>
      </c>
      <c r="F24" s="58" t="s">
        <v>769</v>
      </c>
      <c r="G24" s="58" t="s">
        <v>770</v>
      </c>
      <c r="H24" s="58" t="s">
        <v>771</v>
      </c>
      <c r="I24" s="58" t="s">
        <v>700</v>
      </c>
      <c r="J24" s="58">
        <v>-1.2543</v>
      </c>
      <c r="K24" s="58">
        <v>0.12506999999999999</v>
      </c>
      <c r="L24" s="58">
        <v>0</v>
      </c>
      <c r="M24" s="108" t="s">
        <v>615</v>
      </c>
      <c r="N24" s="49" t="s">
        <v>616</v>
      </c>
      <c r="O24" s="108" t="s">
        <v>772</v>
      </c>
      <c r="P24" s="248">
        <v>0</v>
      </c>
      <c r="Q24" s="248">
        <v>2.5999999999999999E-3</v>
      </c>
      <c r="R24" s="248">
        <v>3.8000000000000002E-4</v>
      </c>
      <c r="S24" s="59">
        <v>-0.77659999999999996</v>
      </c>
      <c r="T24" s="60">
        <v>771.01</v>
      </c>
      <c r="U24" s="49">
        <v>760</v>
      </c>
      <c r="V24" s="49">
        <v>0</v>
      </c>
      <c r="W24" s="49">
        <v>0.1</v>
      </c>
      <c r="X24" s="59">
        <v>-5.4599999999999999E-5</v>
      </c>
      <c r="Y24" s="58">
        <v>-1.3699999999999999E-3</v>
      </c>
      <c r="Z24" s="61">
        <v>1.329</v>
      </c>
      <c r="AA24" s="61">
        <v>0.80900000000000005</v>
      </c>
      <c r="AB24" s="61">
        <v>130.72</v>
      </c>
      <c r="AC24" s="61">
        <v>250.39</v>
      </c>
      <c r="AD24" s="61">
        <v>5.8000000000000003E-2</v>
      </c>
      <c r="AE24" s="61">
        <v>0</v>
      </c>
      <c r="AF24" s="62">
        <v>225</v>
      </c>
      <c r="AG24" s="62">
        <v>300</v>
      </c>
      <c r="AH24" s="59">
        <v>0.51200000000000001</v>
      </c>
      <c r="AI24" s="59">
        <v>0.63400000000000001</v>
      </c>
      <c r="AJ24" s="59">
        <v>0.51100000000000001</v>
      </c>
      <c r="AK24" s="59">
        <v>0.27</v>
      </c>
      <c r="AL24" s="9"/>
      <c r="AM24" s="9"/>
      <c r="AN24" s="9"/>
      <c r="AO24" s="9"/>
      <c r="AP24" s="9"/>
      <c r="AQ24" s="9"/>
      <c r="AU24" s="29"/>
      <c r="AV24" s="6"/>
    </row>
    <row r="25" spans="1:51" ht="15.75" customHeight="1" x14ac:dyDescent="0.45">
      <c r="A25" s="28">
        <v>10</v>
      </c>
      <c r="B25" s="58" t="s">
        <v>773</v>
      </c>
      <c r="C25" s="58" t="s">
        <v>774</v>
      </c>
      <c r="D25" s="58" t="s">
        <v>775</v>
      </c>
      <c r="E25" s="58" t="s">
        <v>776</v>
      </c>
      <c r="F25" s="58" t="s">
        <v>777</v>
      </c>
      <c r="G25" s="58" t="s">
        <v>778</v>
      </c>
      <c r="H25" s="58" t="s">
        <v>779</v>
      </c>
      <c r="I25" s="58" t="s">
        <v>700</v>
      </c>
      <c r="J25" s="58">
        <v>-1.3252999999999999</v>
      </c>
      <c r="K25" s="58">
        <v>0.15182999999999999</v>
      </c>
      <c r="L25" s="58">
        <v>0</v>
      </c>
      <c r="M25" s="108" t="s">
        <v>615</v>
      </c>
      <c r="N25" s="49" t="s">
        <v>616</v>
      </c>
      <c r="O25" s="108" t="s">
        <v>780</v>
      </c>
      <c r="P25" s="248">
        <v>0</v>
      </c>
      <c r="Q25" s="248">
        <v>3.0300000000000001E-3</v>
      </c>
      <c r="R25" s="248">
        <v>1.49E-3</v>
      </c>
      <c r="S25" s="59">
        <v>-0.65580000000000005</v>
      </c>
      <c r="T25" s="60">
        <v>775</v>
      </c>
      <c r="U25" s="49">
        <v>760</v>
      </c>
      <c r="V25" s="49">
        <v>0</v>
      </c>
      <c r="W25" s="49">
        <v>0.1</v>
      </c>
      <c r="X25" s="59">
        <v>0</v>
      </c>
      <c r="Y25" s="58">
        <v>-1.3600000000000001E-3</v>
      </c>
      <c r="Z25" s="61">
        <v>1.1830000000000001</v>
      </c>
      <c r="AA25" s="61">
        <v>0.70299999999999996</v>
      </c>
      <c r="AB25" s="61">
        <v>130</v>
      </c>
      <c r="AC25" s="61">
        <v>210</v>
      </c>
      <c r="AD25" s="61">
        <v>0.06</v>
      </c>
      <c r="AE25" s="61">
        <v>0</v>
      </c>
      <c r="AF25" s="62">
        <v>225</v>
      </c>
      <c r="AG25" s="62">
        <v>300</v>
      </c>
      <c r="AH25" s="59">
        <v>0.51</v>
      </c>
      <c r="AI25" s="59">
        <v>0.60399999999999998</v>
      </c>
      <c r="AJ25" s="59">
        <v>0.48699999999999999</v>
      </c>
      <c r="AK25" s="59">
        <v>0.23899999999999999</v>
      </c>
      <c r="AL25" s="9"/>
      <c r="AM25" s="9"/>
      <c r="AN25" s="9"/>
      <c r="AO25" s="9"/>
      <c r="AP25" s="9"/>
      <c r="AQ25" s="9"/>
      <c r="AU25" s="29"/>
      <c r="AV25" s="6"/>
    </row>
    <row r="26" spans="1:51" ht="15.75" customHeight="1" x14ac:dyDescent="0.45">
      <c r="A26" s="257">
        <v>0</v>
      </c>
      <c r="B26" s="58" t="s">
        <v>781</v>
      </c>
      <c r="C26" s="58" t="s">
        <v>782</v>
      </c>
      <c r="D26" s="58" t="s">
        <v>783</v>
      </c>
      <c r="E26" s="58" t="s">
        <v>784</v>
      </c>
      <c r="F26" s="58" t="s">
        <v>785</v>
      </c>
      <c r="G26" s="58" t="s">
        <v>786</v>
      </c>
      <c r="H26" s="58" t="s">
        <v>787</v>
      </c>
      <c r="I26" s="58" t="s">
        <v>614</v>
      </c>
      <c r="J26" s="58">
        <v>-1.1339999999999999</v>
      </c>
      <c r="K26" s="58">
        <v>0.19170000000000001</v>
      </c>
      <c r="L26" s="58">
        <v>-8.0879999999999997E-3</v>
      </c>
      <c r="M26" s="108" t="s">
        <v>615</v>
      </c>
      <c r="N26" s="49" t="s">
        <v>616</v>
      </c>
      <c r="O26" s="108" t="s">
        <v>615</v>
      </c>
      <c r="P26" s="248">
        <v>0</v>
      </c>
      <c r="Q26" s="248">
        <v>2.8600000000000001E-3</v>
      </c>
      <c r="R26" s="248">
        <v>-2.5500000000000002E-3</v>
      </c>
      <c r="S26" s="59">
        <v>-0.6</v>
      </c>
      <c r="T26" s="60">
        <v>1500</v>
      </c>
      <c r="U26" s="49">
        <v>760</v>
      </c>
      <c r="V26" s="49">
        <v>0</v>
      </c>
      <c r="W26" s="49">
        <v>0.1</v>
      </c>
      <c r="X26" s="59">
        <v>-0.15</v>
      </c>
      <c r="Y26" s="58">
        <v>-7.0099999999999997E-3</v>
      </c>
      <c r="Z26" s="61">
        <v>-9.9</v>
      </c>
      <c r="AA26" s="61">
        <v>-9.9</v>
      </c>
      <c r="AB26" s="61">
        <v>110</v>
      </c>
      <c r="AC26" s="61">
        <v>270</v>
      </c>
      <c r="AD26" s="61">
        <v>0.1</v>
      </c>
      <c r="AE26" s="61">
        <v>7.0000000000000007E-2</v>
      </c>
      <c r="AF26" s="62">
        <v>225</v>
      </c>
      <c r="AG26" s="62">
        <v>300</v>
      </c>
      <c r="AH26" s="59">
        <v>0.69499999999999995</v>
      </c>
      <c r="AI26" s="59">
        <v>0.495</v>
      </c>
      <c r="AJ26" s="59">
        <v>0.39800000000000002</v>
      </c>
      <c r="AK26" s="59">
        <v>0.34799999999999998</v>
      </c>
      <c r="AL26" s="9"/>
      <c r="AM26" s="9"/>
      <c r="AN26" s="9"/>
      <c r="AO26" s="9"/>
      <c r="AP26" s="9"/>
      <c r="AQ26" s="9"/>
      <c r="AR26" s="33"/>
      <c r="AS26" s="33"/>
      <c r="AT26" s="33"/>
      <c r="AU26" s="27"/>
      <c r="AV26" s="34"/>
    </row>
    <row r="27" spans="1:51" ht="15.75" customHeight="1" x14ac:dyDescent="0.45">
      <c r="A27" s="28">
        <v>-1</v>
      </c>
      <c r="B27" s="58" t="s">
        <v>788</v>
      </c>
      <c r="C27" s="58" t="s">
        <v>789</v>
      </c>
      <c r="D27" s="58" t="s">
        <v>790</v>
      </c>
      <c r="E27" s="58" t="s">
        <v>791</v>
      </c>
      <c r="F27" s="58" t="s">
        <v>792</v>
      </c>
      <c r="G27" s="58" t="s">
        <v>793</v>
      </c>
      <c r="H27" s="58" t="s">
        <v>794</v>
      </c>
      <c r="I27" s="58" t="s">
        <v>700</v>
      </c>
      <c r="J27" s="58">
        <v>-1.2430000000000001</v>
      </c>
      <c r="K27" s="58">
        <v>0.1489</v>
      </c>
      <c r="L27" s="58">
        <v>-3.4399999999999999E-3</v>
      </c>
      <c r="M27" s="108" t="s">
        <v>615</v>
      </c>
      <c r="N27" s="49" t="s">
        <v>616</v>
      </c>
      <c r="O27" s="108" t="s">
        <v>795</v>
      </c>
      <c r="P27" s="248">
        <v>0</v>
      </c>
      <c r="Q27" s="248">
        <v>4.3499999999999997E-3</v>
      </c>
      <c r="R27" s="248">
        <v>-3.3E-4</v>
      </c>
      <c r="S27" s="59">
        <v>-0.84</v>
      </c>
      <c r="T27" s="60">
        <v>1300</v>
      </c>
      <c r="U27" s="49">
        <v>760</v>
      </c>
      <c r="V27" s="49">
        <v>0</v>
      </c>
      <c r="W27" s="49">
        <v>0.1</v>
      </c>
      <c r="X27" s="59">
        <v>-0.1</v>
      </c>
      <c r="Y27" s="58">
        <v>-8.4399999999999996E-3</v>
      </c>
      <c r="Z27" s="61">
        <v>-9.9</v>
      </c>
      <c r="AA27" s="61">
        <v>-9.9</v>
      </c>
      <c r="AB27" s="61">
        <v>105</v>
      </c>
      <c r="AC27" s="61">
        <v>272</v>
      </c>
      <c r="AD27" s="61">
        <v>8.2000000000000003E-2</v>
      </c>
      <c r="AE27" s="61">
        <v>0.08</v>
      </c>
      <c r="AF27" s="62">
        <v>225</v>
      </c>
      <c r="AG27" s="62">
        <v>300</v>
      </c>
      <c r="AH27" s="59">
        <v>0.64400000000000002</v>
      </c>
      <c r="AI27" s="59">
        <v>0.55200000000000005</v>
      </c>
      <c r="AJ27" s="59">
        <v>0.40100000000000002</v>
      </c>
      <c r="AK27" s="249">
        <v>0.34599999999999997</v>
      </c>
      <c r="AL27" s="27"/>
      <c r="AM27" s="27"/>
      <c r="AN27" s="27"/>
      <c r="AO27" s="27"/>
      <c r="AP27" s="27"/>
      <c r="AQ27" s="9"/>
      <c r="AV27" s="6"/>
    </row>
    <row r="28" spans="1:51" ht="15.75" customHeight="1" x14ac:dyDescent="0.45">
      <c r="AN28" s="27"/>
      <c r="AO28" s="27"/>
      <c r="AP28" s="27"/>
      <c r="AQ28" s="27"/>
    </row>
  </sheetData>
  <sheetProtection password="EDF4" sheet="1" objects="1" scenarios="1"/>
  <mergeCells count="1">
    <mergeCell ref="A4:XFD4"/>
  </mergeCells>
  <pageMargins left="0.7" right="0.7" top="0.75" bottom="0.75" header="0.3" footer="0.3"/>
  <ignoredErrors>
    <ignoredError sqref="B5:W27 Y5:AK27" numberStoredAsText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H104"/>
  <sheetViews>
    <sheetView workbookViewId="0">
      <selection activeCell="Y20" sqref="Y20"/>
    </sheetView>
  </sheetViews>
  <sheetFormatPr defaultColWidth="8.86328125" defaultRowHeight="14.25" x14ac:dyDescent="0.45"/>
  <cols>
    <col min="1" max="1" width="17" customWidth="1"/>
    <col min="2" max="2" width="18" customWidth="1"/>
    <col min="3" max="3" width="10.86328125" bestFit="1" customWidth="1"/>
    <col min="4" max="4" width="7.265625" customWidth="1"/>
    <col min="5" max="5" width="9.265625" hidden="1" customWidth="1"/>
    <col min="6" max="6" width="10.86328125" hidden="1" customWidth="1"/>
    <col min="7" max="7" width="9.3984375" hidden="1" customWidth="1"/>
    <col min="8" max="8" width="7.265625" hidden="1" customWidth="1"/>
    <col min="9" max="9" width="8.86328125" hidden="1" customWidth="1"/>
    <col min="10" max="10" width="9" hidden="1" customWidth="1"/>
    <col min="11" max="11" width="20.3984375" hidden="1" customWidth="1"/>
    <col min="12" max="15" width="7.265625" hidden="1" customWidth="1"/>
    <col min="16" max="16" width="10.73046875" style="41" hidden="1" customWidth="1"/>
    <col min="17" max="22" width="7.265625" hidden="1" customWidth="1"/>
    <col min="23" max="23" width="8.265625" style="42" hidden="1" customWidth="1"/>
    <col min="24" max="24" width="7.265625" hidden="1" customWidth="1"/>
    <col min="25" max="25" width="12" style="41" customWidth="1"/>
    <col min="26" max="26" width="11.73046875" style="32" customWidth="1"/>
  </cols>
  <sheetData>
    <row r="1" spans="1:34" x14ac:dyDescent="0.45">
      <c r="A1" s="57" t="s">
        <v>426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</row>
    <row r="2" spans="1:34" s="1" customFormat="1" ht="15" customHeight="1" x14ac:dyDescent="0.35">
      <c r="N2" s="109"/>
      <c r="Y2" s="124"/>
      <c r="Z2" s="63"/>
    </row>
    <row r="3" spans="1:34" ht="34.5" customHeight="1" x14ac:dyDescent="0.45">
      <c r="A3" s="171" t="s">
        <v>383</v>
      </c>
      <c r="B3" s="171" t="s">
        <v>382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P3" s="109"/>
      <c r="Q3" s="109"/>
      <c r="R3" s="109"/>
      <c r="S3" s="109"/>
      <c r="T3" s="109"/>
      <c r="U3" s="109"/>
      <c r="V3" s="109"/>
      <c r="W3" s="109"/>
      <c r="X3" s="109"/>
      <c r="Y3" s="127" t="s">
        <v>488</v>
      </c>
    </row>
    <row r="4" spans="1:34" s="1" customFormat="1" ht="15" customHeight="1" x14ac:dyDescent="0.5"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Y4" s="394" t="s">
        <v>264</v>
      </c>
      <c r="Z4" s="394"/>
    </row>
    <row r="5" spans="1:34" ht="18" x14ac:dyDescent="0.45">
      <c r="A5" s="2" t="s">
        <v>0</v>
      </c>
      <c r="C5" s="20" t="s">
        <v>20</v>
      </c>
      <c r="D5" s="21" t="s">
        <v>21</v>
      </c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101"/>
      <c r="Q5" s="22" t="s">
        <v>26</v>
      </c>
      <c r="R5" s="22" t="s">
        <v>27</v>
      </c>
      <c r="S5" s="102" t="s">
        <v>28</v>
      </c>
      <c r="T5" s="22" t="s">
        <v>29</v>
      </c>
      <c r="U5" s="102" t="s">
        <v>30</v>
      </c>
      <c r="V5" s="22" t="s">
        <v>31</v>
      </c>
      <c r="W5" s="100" t="s">
        <v>32</v>
      </c>
      <c r="X5" s="22" t="s">
        <v>33</v>
      </c>
      <c r="Y5" s="101" t="s">
        <v>25</v>
      </c>
      <c r="Z5" s="128" t="s">
        <v>32</v>
      </c>
    </row>
    <row r="6" spans="1:34" ht="15" customHeight="1" x14ac:dyDescent="0.45">
      <c r="A6" s="3">
        <f>Main!$B$24</f>
        <v>8.1</v>
      </c>
      <c r="B6" s="94" t="str">
        <f>IF(AND($A$6&gt;=3.3, $A$6&lt;=8.5),"","! Not Applicable !")</f>
        <v/>
      </c>
      <c r="C6" s="393" t="s">
        <v>431</v>
      </c>
      <c r="D6" s="11">
        <v>0.01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63"/>
      <c r="Q6" s="7">
        <f>IF($A$18&lt;CB14_Coeffs!$AG5,CB14_Coeffs!$AH5*$A$56*(($A$56+CB14_Coeffs!$AJ5*($A$18/CB14_Coeffs!$AG5)^CB14_Coeffs!$AK5)^(-1)-($A$56+CB14_Coeffs!$AJ5)^(-1)),0)</f>
        <v>-0.19227613167163699</v>
      </c>
      <c r="R6" s="7">
        <f>IF($A$6&lt;4.5,CB14_Coeffs!$AL5,IF($A$6&gt;5.5,CB14_Coeffs!$AM5,CB14_Coeffs!$AM5+(CB14_Coeffs!$AL5-CB14_Coeffs!$AM5)*(5.5-$A$6)*(5.5-4.5)))</f>
        <v>0.49199999999999999</v>
      </c>
      <c r="S6" s="7">
        <f>SQRT(($R6^2-CB14_Coeffs!$AP5^2)+CB14_Coeffs!$AP5^2+$Q6^2*($R$28^2-CB14_Coeffs!$AP$26^2)+2*$Q6*CB14_Coeffs!$AR5*SQRT($R6^2-CB14_Coeffs!$AP5^2)*SQRT($R$28^2-CB14_Coeffs!$AP$26^2))</f>
        <v>0.43498191635661454</v>
      </c>
      <c r="T6" s="7">
        <f>IF($A$6&lt;4.5,CB14_Coeffs!$AN5,IF($A$6&gt;5.5,CB14_Coeffs!$AO5,CB14_Coeffs!$AO5+(CB14_Coeffs!$AN5-CB14_Coeffs!$AO5)*(5.5-$A$6)*(5.5-4.5)))</f>
        <v>0.32500000000000001</v>
      </c>
      <c r="U6" s="7">
        <f>SQRT($T6^2+$Q6^2*$T$28^2+2*$Q6*CB14_Coeffs!$AR5*$T6*T$28)</f>
        <v>0.26308708560173288</v>
      </c>
      <c r="V6" s="7">
        <f>CB14_Coeffs!AQ5</f>
        <v>0.16600000000000001</v>
      </c>
      <c r="W6" s="9">
        <f>SQRT(S6^2+U6^2)</f>
        <v>0.50835428803904692</v>
      </c>
      <c r="X6" s="7">
        <f>SQRT(V6^2+W6^2)</f>
        <v>0.53477105584323315</v>
      </c>
      <c r="Y6" s="7">
        <f>CB_14($A$6,$A$9,$A$12,$A$15,$A$21,$A$24,$A$27,$A$33,$A$42,$A$30,$A$18,$A$39,$A$36,$A$62,$A$71,$A$68,$A$48,$A$56,$D6)</f>
        <v>0.30031959681742626</v>
      </c>
      <c r="Z6" s="246">
        <f t="shared" ref="Z6:Z26" si="0">W6</f>
        <v>0.50835428803904692</v>
      </c>
    </row>
    <row r="7" spans="1:34" x14ac:dyDescent="0.45">
      <c r="A7" s="3"/>
      <c r="C7" s="393"/>
      <c r="D7" s="30">
        <v>0.02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63"/>
      <c r="Q7" s="7">
        <f>IF($A$18&lt;CB14_Coeffs!$AG6,CB14_Coeffs!$AH6*$A$56*(($A$56+CB14_Coeffs!$AJ6*($A$18/CB14_Coeffs!$AG6)^CB14_Coeffs!$AK6)^(-1)-($A$56+CB14_Coeffs!$AJ6)^(-1)),0)</f>
        <v>-0.19762614208071291</v>
      </c>
      <c r="R7" s="7">
        <f>IF($A$6&lt;4.5,CB14_Coeffs!$AL6,IF($A$6&gt;5.5,CB14_Coeffs!$AM6,CB14_Coeffs!$AM6+(CB14_Coeffs!$AL6-CB14_Coeffs!$AM6)*(5.5-$A$6)*(5.5-4.5)))</f>
        <v>0.496</v>
      </c>
      <c r="S7" s="7">
        <f>SQRT(($R7^2-CB14_Coeffs!$AP6^2)+CB14_Coeffs!$AP6^2+$Q7^2*($R$28^2-CB14_Coeffs!$AP$26^2)+2*$Q7*CB14_Coeffs!$AR6*SQRT($R7^2-CB14_Coeffs!$AP6^2)*SQRT($R$28^2-CB14_Coeffs!$AP$26^2))</f>
        <v>0.43726094340389016</v>
      </c>
      <c r="T7" s="7">
        <f>IF($A$6&lt;4.5,CB14_Coeffs!$AN6,IF($A$6&gt;5.5,CB14_Coeffs!$AO6,CB14_Coeffs!$AO6+(CB14_Coeffs!$AN6-CB14_Coeffs!$AO6)*(5.5-$A$6)*(5.5-4.5)))</f>
        <v>0.32600000000000001</v>
      </c>
      <c r="U7" s="7">
        <f>SQRT($T7^2+$Q7^2*$T$28^2+2*$Q7*CB14_Coeffs!$AR6*$T7*T$28)</f>
        <v>0.26252247507399357</v>
      </c>
      <c r="V7" s="7">
        <f>CB14_Coeffs!AQ6</f>
        <v>0.16600000000000001</v>
      </c>
      <c r="W7" s="9">
        <f t="shared" ref="W7:W26" si="1">SQRT(S7^2+U7^2)</f>
        <v>0.51001488463125821</v>
      </c>
      <c r="X7" s="7">
        <f t="shared" ref="X7:X26" si="2">SQRT(V7^2+W7^2)</f>
        <v>0.53634986953054786</v>
      </c>
      <c r="Y7" s="7">
        <f>CB_14($A$6,$A$9,$A$12,$A$15,$A$21,$A$24,$A$27,$A$33,$A$42,$A$30,$A$18,$A$39,$A$36,$A$62,$A$71,$A$68,$A$48,$A$56,$D7)</f>
        <v>0.30553319069087864</v>
      </c>
      <c r="Z7" s="246">
        <f t="shared" si="0"/>
        <v>0.51001488463125821</v>
      </c>
    </row>
    <row r="8" spans="1:34" ht="15" x14ac:dyDescent="0.5">
      <c r="A8" s="4" t="s">
        <v>1</v>
      </c>
      <c r="C8" s="393"/>
      <c r="D8" s="30">
        <v>0.03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63"/>
      <c r="Q8" s="7">
        <f>IF($A$18&lt;CB14_Coeffs!$AG7,CB14_Coeffs!$AH7*$A$56*(($A$56+CB14_Coeffs!$AJ7*($A$18/CB14_Coeffs!$AG7)^CB14_Coeffs!$AK7)^(-1)-($A$56+CB14_Coeffs!$AJ7)^(-1)),0)</f>
        <v>-0.22149203447636279</v>
      </c>
      <c r="R8" s="7">
        <f>IF($A$6&lt;4.5,CB14_Coeffs!$AL7,IF($A$6&gt;5.5,CB14_Coeffs!$AM7,CB14_Coeffs!$AM7+(CB14_Coeffs!$AL7-CB14_Coeffs!$AM7)*(5.5-$A$6)*(5.5-4.5)))</f>
        <v>0.503</v>
      </c>
      <c r="S8" s="7">
        <f>SQRT(($R8^2-CB14_Coeffs!$AP7^2)+CB14_Coeffs!$AP7^2+$Q8^2*($R$28^2-CB14_Coeffs!$AP$26^2)+2*$Q8*CB14_Coeffs!$AR7*SQRT($R8^2-CB14_Coeffs!$AP7^2)*SQRT($R$28^2-CB14_Coeffs!$AP$26^2))</f>
        <v>0.4378372315550848</v>
      </c>
      <c r="T8" s="7">
        <f>IF($A$6&lt;4.5,CB14_Coeffs!$AN7,IF($A$6&gt;5.5,CB14_Coeffs!$AO7,CB14_Coeffs!$AO7+(CB14_Coeffs!$AN7-CB14_Coeffs!$AO7)*(5.5-$A$6)*(5.5-4.5)))</f>
        <v>0.34399999999999997</v>
      </c>
      <c r="U8" s="7">
        <f>SQRT($T8^2+$Q8^2*$T$28^2+2*$Q8*CB14_Coeffs!$AR7*$T8*T$28)</f>
        <v>0.27393631293458059</v>
      </c>
      <c r="V8" s="7">
        <f>CB14_Coeffs!AQ7</f>
        <v>0.16500000000000001</v>
      </c>
      <c r="W8" s="9">
        <f t="shared" si="1"/>
        <v>0.51647124303296255</v>
      </c>
      <c r="X8" s="7">
        <f t="shared" si="2"/>
        <v>0.54218773951465693</v>
      </c>
      <c r="Y8" s="7">
        <f>CB_14($A$6,$A$9,$A$12,$A$15,$A$21,$A$24,$A$27,$A$33,$A$42,$A$30,$A$18,$A$39,$A$36,$A$62,$A$71,$A$68,$A$48,$A$56,$D8)</f>
        <v>0.32683247663082582</v>
      </c>
      <c r="Z8" s="246">
        <f t="shared" si="0"/>
        <v>0.51647124303296255</v>
      </c>
    </row>
    <row r="9" spans="1:34" x14ac:dyDescent="0.45">
      <c r="A9" s="3">
        <f>Main!$B$27</f>
        <v>15.08</v>
      </c>
      <c r="B9" s="94" t="str">
        <f>IF(AND($A$9&gt;=0, $A$9&lt;=300),"","! Not Applicable !")</f>
        <v/>
      </c>
      <c r="C9" s="393"/>
      <c r="D9" s="30">
        <v>0.05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63"/>
      <c r="Q9" s="7">
        <f>IF($A$18&lt;CB14_Coeffs!$AG8,CB14_Coeffs!$AH8*$A$56*(($A$56+CB14_Coeffs!$AJ8*($A$18/CB14_Coeffs!$AG8)^CB14_Coeffs!$AK8)^(-1)-($A$56+CB14_Coeffs!$AJ8)^(-1)),0)</f>
        <v>-0.28555585208667444</v>
      </c>
      <c r="R9" s="7">
        <f>IF($A$6&lt;4.5,CB14_Coeffs!$AL8,IF($A$6&gt;5.5,CB14_Coeffs!$AM8,CB14_Coeffs!$AM8+(CB14_Coeffs!$AL8-CB14_Coeffs!$AM8)*(5.5-$A$6)*(5.5-4.5)))</f>
        <v>0.52</v>
      </c>
      <c r="S9" s="7">
        <f>SQRT(($R9^2-CB14_Coeffs!$AP8^2)+CB14_Coeffs!$AP8^2+$Q9^2*($R$28^2-CB14_Coeffs!$AP$26^2)+2*$Q9*CB14_Coeffs!$AR8*SQRT($R9^2-CB14_Coeffs!$AP8^2)*SQRT($R$28^2-CB14_Coeffs!$AP$26^2))</f>
        <v>0.44053684511600427</v>
      </c>
      <c r="T9" s="7">
        <f>IF($A$6&lt;4.5,CB14_Coeffs!$AN8,IF($A$6&gt;5.5,CB14_Coeffs!$AO8,CB14_Coeffs!$AO8+(CB14_Coeffs!$AN8-CB14_Coeffs!$AO8)*(5.5-$A$6)*(5.5-4.5)))</f>
        <v>0.377</v>
      </c>
      <c r="U9" s="7">
        <f>SQRT($T9^2+$Q9^2*$T$28^2+2*$Q9*CB14_Coeffs!$AR8*$T9*T$28)</f>
        <v>0.29249361126702256</v>
      </c>
      <c r="V9" s="7">
        <f>CB14_Coeffs!AQ8</f>
        <v>0.16200000000000001</v>
      </c>
      <c r="W9" s="9">
        <f t="shared" si="1"/>
        <v>0.52879601410826316</v>
      </c>
      <c r="X9" s="7">
        <f t="shared" si="2"/>
        <v>0.55305444988426455</v>
      </c>
      <c r="Y9" s="7">
        <f>CB_14($A$6,$A$9,$A$12,$A$15,$A$21,$A$24,$A$27,$A$33,$A$42,$A$30,$A$18,$A$39,$A$36,$A$62,$A$71,$A$68,$A$48,$A$56,$D9)</f>
        <v>0.38111750431238639</v>
      </c>
      <c r="Z9" s="246">
        <f t="shared" si="0"/>
        <v>0.52879601410826316</v>
      </c>
    </row>
    <row r="10" spans="1:34" x14ac:dyDescent="0.45">
      <c r="A10" s="3"/>
      <c r="C10" s="393"/>
      <c r="D10" s="30">
        <v>7.4999999999999997E-2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63"/>
      <c r="Q10" s="7">
        <f>IF($A$18&lt;CB14_Coeffs!$AG9,CB14_Coeffs!$AH9*$A$56*(($A$56+CB14_Coeffs!$AJ9*($A$18/CB14_Coeffs!$AG9)^CB14_Coeffs!$AK9)^(-1)-($A$56+CB14_Coeffs!$AJ9)^(-1)),0)</f>
        <v>-0.323750767631662</v>
      </c>
      <c r="R10" s="7">
        <f>IF($A$6&lt;4.5,CB14_Coeffs!$AL9,IF($A$6&gt;5.5,CB14_Coeffs!$AM9,CB14_Coeffs!$AM9+(CB14_Coeffs!$AL9-CB14_Coeffs!$AM9)*(5.5-$A$6)*(5.5-4.5)))</f>
        <v>0.53500000000000003</v>
      </c>
      <c r="S10" s="7">
        <f>SQRT(($R10^2-CB14_Coeffs!$AP9^2)+CB14_Coeffs!$AP9^2+$Q10^2*($R$28^2-CB14_Coeffs!$AP$26^2)+2*$Q10*CB14_Coeffs!$AR9*SQRT($R10^2-CB14_Coeffs!$AP9^2)*SQRT($R$28^2-CB14_Coeffs!$AP$26^2))</f>
        <v>0.45050379623078862</v>
      </c>
      <c r="T10" s="7">
        <f>IF($A$6&lt;4.5,CB14_Coeffs!$AN9,IF($A$6&gt;5.5,CB14_Coeffs!$AO9,CB14_Coeffs!$AO9+(CB14_Coeffs!$AN9-CB14_Coeffs!$AO9)*(5.5-$A$6)*(5.5-4.5)))</f>
        <v>0.41799999999999998</v>
      </c>
      <c r="U10" s="7">
        <f>SQRT($T10^2+$Q10^2*$T$28^2+2*$Q10*CB14_Coeffs!$AR9*$T10*T$28)</f>
        <v>0.32907226004574425</v>
      </c>
      <c r="V10" s="7">
        <f>CB14_Coeffs!AQ9</f>
        <v>0.158</v>
      </c>
      <c r="W10" s="9">
        <f t="shared" si="1"/>
        <v>0.55789086992884718</v>
      </c>
      <c r="X10" s="7">
        <f t="shared" si="2"/>
        <v>0.57983292658313723</v>
      </c>
      <c r="Y10" s="7">
        <f t="shared" ref="Y10:Y14" si="3">CB_14($A$6,$A$9,$A$12,$A$15,$A$21,$A$24,$A$27,$A$33,$A$42,$A$30,$A$18,$A$39,$A$36,$A$62,$A$71,$A$68,$A$48,$A$56,$D10)</f>
        <v>0.44824107815822867</v>
      </c>
      <c r="Z10" s="246">
        <f t="shared" si="0"/>
        <v>0.55789086992884718</v>
      </c>
    </row>
    <row r="11" spans="1:34" ht="15" x14ac:dyDescent="0.5">
      <c r="A11" s="4" t="s">
        <v>2</v>
      </c>
      <c r="C11" s="393"/>
      <c r="D11" s="11">
        <v>0.1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63"/>
      <c r="Q11" s="7">
        <f>IF($A$18&lt;CB14_Coeffs!$AG10,CB14_Coeffs!$AH10*$A$56*(($A$56+CB14_Coeffs!$AJ10*($A$18/CB14_Coeffs!$AG10)^CB14_Coeffs!$AK10)^(-1)-($A$56+CB14_Coeffs!$AJ10)^(-1)),0)</f>
        <v>-0.3355307201629979</v>
      </c>
      <c r="R11" s="7">
        <f>IF($A$6&lt;4.5,CB14_Coeffs!$AL10,IF($A$6&gt;5.5,CB14_Coeffs!$AM10,CB14_Coeffs!$AM10+(CB14_Coeffs!$AL10-CB14_Coeffs!$AM10)*(5.5-$A$6)*(5.5-4.5)))</f>
        <v>0.54300000000000004</v>
      </c>
      <c r="S11" s="7">
        <f>SQRT(($R11^2-CB14_Coeffs!$AP10^2)+CB14_Coeffs!$AP10^2+$Q11^2*($R$28^2-CB14_Coeffs!$AP$26^2)+2*$Q11*CB14_Coeffs!$AR10*SQRT($R11^2-CB14_Coeffs!$AP10^2)*SQRT($R$28^2-CB14_Coeffs!$AP$26^2))</f>
        <v>0.45708545864234285</v>
      </c>
      <c r="T11" s="7">
        <f>IF($A$6&lt;4.5,CB14_Coeffs!$AN10,IF($A$6&gt;5.5,CB14_Coeffs!$AO10,CB14_Coeffs!$AO10+(CB14_Coeffs!$AN10-CB14_Coeffs!$AO10)*(5.5-$A$6)*(5.5-4.5)))</f>
        <v>0.42599999999999999</v>
      </c>
      <c r="U11" s="7">
        <f>SQRT($T11^2+$Q11^2*$T$28^2+2*$Q11*CB14_Coeffs!$AR10*$T11*T$28)</f>
        <v>0.33625080463032037</v>
      </c>
      <c r="V11" s="7">
        <f>CB14_Coeffs!AQ10</f>
        <v>0.17</v>
      </c>
      <c r="W11" s="9">
        <f t="shared" si="1"/>
        <v>0.5674431426291261</v>
      </c>
      <c r="X11" s="7">
        <f t="shared" si="2"/>
        <v>0.59236113994489781</v>
      </c>
      <c r="Y11" s="7">
        <f t="shared" si="3"/>
        <v>0.49806434476735012</v>
      </c>
      <c r="Z11" s="246">
        <f t="shared" si="0"/>
        <v>0.5674431426291261</v>
      </c>
    </row>
    <row r="12" spans="1:34" x14ac:dyDescent="0.45">
      <c r="A12" s="3">
        <f>Main!$B$30</f>
        <v>15.08</v>
      </c>
      <c r="C12" s="393"/>
      <c r="D12" s="11">
        <v>0.15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63"/>
      <c r="Q12" s="7">
        <f>IF($A$18&lt;CB14_Coeffs!$AG11,CB14_Coeffs!$AH11*$A$56*(($A$56+CB14_Coeffs!$AJ11*($A$18/CB14_Coeffs!$AG11)^CB14_Coeffs!$AK11)^(-1)-($A$56+CB14_Coeffs!$AJ11)^(-1)),0)</f>
        <v>-0.32004684914394332</v>
      </c>
      <c r="R12" s="7">
        <f>IF($A$6&lt;4.5,CB14_Coeffs!$AL11,IF($A$6&gt;5.5,CB14_Coeffs!$AM11,CB14_Coeffs!$AM11+(CB14_Coeffs!$AL11-CB14_Coeffs!$AM11)*(5.5-$A$6)*(5.5-4.5)))</f>
        <v>0.54300000000000004</v>
      </c>
      <c r="S12" s="7">
        <f>SQRT(($R12^2-CB14_Coeffs!$AP11^2)+CB14_Coeffs!$AP11^2+$Q12^2*($R$28^2-CB14_Coeffs!$AP$26^2)+2*$Q12*CB14_Coeffs!$AR11*SQRT($R12^2-CB14_Coeffs!$AP11^2)*SQRT($R$28^2-CB14_Coeffs!$AP$26^2))</f>
        <v>0.45984865860979324</v>
      </c>
      <c r="T12" s="7">
        <f>IF($A$6&lt;4.5,CB14_Coeffs!$AN11,IF($A$6&gt;5.5,CB14_Coeffs!$AO11,CB14_Coeffs!$AO11+(CB14_Coeffs!$AN11-CB14_Coeffs!$AO11)*(5.5-$A$6)*(5.5-4.5)))</f>
        <v>0.38700000000000001</v>
      </c>
      <c r="U12" s="7">
        <f>SQRT($T12^2+$Q12^2*$T$28^2+2*$Q12*CB14_Coeffs!$AR11*$T12*T$28)</f>
        <v>0.30085798874562181</v>
      </c>
      <c r="V12" s="7">
        <f>CB14_Coeffs!AQ11</f>
        <v>0.18</v>
      </c>
      <c r="W12" s="9">
        <f t="shared" si="1"/>
        <v>0.54952371943100586</v>
      </c>
      <c r="X12" s="7">
        <f t="shared" si="2"/>
        <v>0.57825281513995841</v>
      </c>
      <c r="Y12" s="7">
        <f t="shared" si="3"/>
        <v>0.55850421195632716</v>
      </c>
      <c r="Z12" s="246">
        <f t="shared" si="0"/>
        <v>0.54952371943100586</v>
      </c>
    </row>
    <row r="13" spans="1:34" x14ac:dyDescent="0.45">
      <c r="A13" s="3"/>
      <c r="C13" s="393"/>
      <c r="D13" s="11">
        <v>0.2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63"/>
      <c r="Q13" s="7">
        <f>IF($A$18&lt;CB14_Coeffs!$AG12,CB14_Coeffs!$AH12*$A$56*(($A$56+CB14_Coeffs!$AJ12*($A$18/CB14_Coeffs!$AG12)^CB14_Coeffs!$AK12)^(-1)-($A$56+CB14_Coeffs!$AJ12)^(-1)),0)</f>
        <v>-0.28072093309782037</v>
      </c>
      <c r="R13" s="7">
        <f>IF($A$6&lt;4.5,CB14_Coeffs!$AL12,IF($A$6&gt;5.5,CB14_Coeffs!$AM12,CB14_Coeffs!$AM12+(CB14_Coeffs!$AL12-CB14_Coeffs!$AM12)*(5.5-$A$6)*(5.5-4.5)))</f>
        <v>0.55200000000000005</v>
      </c>
      <c r="S13" s="7">
        <f>SQRT(($R13^2-CB14_Coeffs!$AP12^2)+CB14_Coeffs!$AP12^2+$Q13^2*($R$28^2-CB14_Coeffs!$AP$26^2)+2*$Q13*CB14_Coeffs!$AR12*SQRT($R13^2-CB14_Coeffs!$AP12^2)*SQRT($R$28^2-CB14_Coeffs!$AP$26^2))</f>
        <v>0.47794207830753926</v>
      </c>
      <c r="T13" s="7">
        <f>IF($A$6&lt;4.5,CB14_Coeffs!$AN12,IF($A$6&gt;5.5,CB14_Coeffs!$AO12,CB14_Coeffs!$AO12+(CB14_Coeffs!$AN12-CB14_Coeffs!$AO12)*(5.5-$A$6)*(5.5-4.5)))</f>
        <v>0.33800000000000002</v>
      </c>
      <c r="U13" s="7">
        <f>SQRT($T13^2+$Q13^2*$T$28^2+2*$Q13*CB14_Coeffs!$AR12*$T13*T$28)</f>
        <v>0.26316024283813139</v>
      </c>
      <c r="V13" s="7">
        <f>CB14_Coeffs!AQ12</f>
        <v>0.186</v>
      </c>
      <c r="W13" s="9">
        <f t="shared" si="1"/>
        <v>0.5456023676887356</v>
      </c>
      <c r="X13" s="7">
        <f t="shared" si="2"/>
        <v>0.57643555028082216</v>
      </c>
      <c r="Y13" s="7">
        <f t="shared" si="3"/>
        <v>0.58482218720518531</v>
      </c>
      <c r="Z13" s="246">
        <f t="shared" si="0"/>
        <v>0.5456023676887356</v>
      </c>
    </row>
    <row r="14" spans="1:34" ht="15" x14ac:dyDescent="0.5">
      <c r="A14" s="4" t="s">
        <v>3</v>
      </c>
      <c r="C14" s="393"/>
      <c r="D14" s="11">
        <v>0.25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63"/>
      <c r="Q14" s="7">
        <f>IF($A$18&lt;CB14_Coeffs!$AG13,CB14_Coeffs!$AH13*$A$56*(($A$56+CB14_Coeffs!$AJ13*($A$18/CB14_Coeffs!$AG13)^CB14_Coeffs!$AK13)^(-1)-($A$56+CB14_Coeffs!$AJ13)^(-1)),0)</f>
        <v>-0.2368479609228448</v>
      </c>
      <c r="R14" s="7">
        <f>IF($A$6&lt;4.5,CB14_Coeffs!$AL13,IF($A$6&gt;5.5,CB14_Coeffs!$AM13,CB14_Coeffs!$AM13+(CB14_Coeffs!$AL13-CB14_Coeffs!$AM13)*(5.5-$A$6)*(5.5-4.5)))</f>
        <v>0.54500000000000004</v>
      </c>
      <c r="S14" s="7">
        <f>SQRT(($R14^2-CB14_Coeffs!$AP13^2)+CB14_Coeffs!$AP13^2+$Q14^2*($R$28^2-CB14_Coeffs!$AP$26^2)+2*$Q14*CB14_Coeffs!$AR13*SQRT($R14^2-CB14_Coeffs!$AP13^2)*SQRT($R$28^2-CB14_Coeffs!$AP$26^2))</f>
        <v>0.48385436181582892</v>
      </c>
      <c r="T14" s="7">
        <f>IF($A$6&lt;4.5,CB14_Coeffs!$AN13,IF($A$6&gt;5.5,CB14_Coeffs!$AO13,CB14_Coeffs!$AO13+(CB14_Coeffs!$AN13-CB14_Coeffs!$AO13)*(5.5-$A$6)*(5.5-4.5)))</f>
        <v>0.316</v>
      </c>
      <c r="U14" s="7">
        <f>SQRT($T14^2+$Q14^2*$T$28^2+2*$Q14*CB14_Coeffs!$AR13*$T14*T$28)</f>
        <v>0.25436740263588115</v>
      </c>
      <c r="V14" s="7">
        <f>CB14_Coeffs!AQ13</f>
        <v>0.191</v>
      </c>
      <c r="W14" s="9">
        <f t="shared" si="1"/>
        <v>0.54664231355789461</v>
      </c>
      <c r="X14" s="7">
        <f t="shared" si="2"/>
        <v>0.57904992787490051</v>
      </c>
      <c r="Y14" s="7">
        <f t="shared" si="3"/>
        <v>0.62474909319779903</v>
      </c>
      <c r="Z14" s="246">
        <f t="shared" si="0"/>
        <v>0.54664231355789461</v>
      </c>
    </row>
    <row r="15" spans="1:34" x14ac:dyDescent="0.45">
      <c r="A15" s="3">
        <f>Main!$B$33</f>
        <v>15.08</v>
      </c>
      <c r="C15" s="393"/>
      <c r="D15" s="11">
        <v>0.3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63"/>
      <c r="Q15" s="7">
        <f>IF($A$18&lt;CB14_Coeffs!$AG14,CB14_Coeffs!$AH14*$A$56*(($A$56+CB14_Coeffs!$AJ14*($A$18/CB14_Coeffs!$AG14)^CB14_Coeffs!$AK14)^(-1)-($A$56+CB14_Coeffs!$AJ14)^(-1)),0)</f>
        <v>-0.19645155436288314</v>
      </c>
      <c r="R15" s="7">
        <f>IF($A$6&lt;4.5,CB14_Coeffs!$AL14,IF($A$6&gt;5.5,CB14_Coeffs!$AM14,CB14_Coeffs!$AM14+(CB14_Coeffs!$AL14-CB14_Coeffs!$AM14)*(5.5-$A$6)*(5.5-4.5)))</f>
        <v>0.56799999999999995</v>
      </c>
      <c r="S15" s="7">
        <f>SQRT(($R15^2-CB14_Coeffs!$AP14^2)+CB14_Coeffs!$AP14^2+$Q15^2*($R$28^2-CB14_Coeffs!$AP$26^2)+2*$Q15*CB14_Coeffs!$AR14*SQRT($R15^2-CB14_Coeffs!$AP14^2)*SQRT($R$28^2-CB14_Coeffs!$AP$26^2))</f>
        <v>0.51765926796691086</v>
      </c>
      <c r="T15" s="7">
        <f>IF($A$6&lt;4.5,CB14_Coeffs!$AN14,IF($A$6&gt;5.5,CB14_Coeffs!$AO14,CB14_Coeffs!$AO14+(CB14_Coeffs!$AN14-CB14_Coeffs!$AO14)*(5.5-$A$6)*(5.5-4.5)))</f>
        <v>0.3</v>
      </c>
      <c r="U15" s="7">
        <f>SQRT($T15^2+$Q15^2*$T$28^2+2*$Q15*CB14_Coeffs!$AR14*$T15*T$28)</f>
        <v>0.25083223897766471</v>
      </c>
      <c r="V15" s="7">
        <f>CB14_Coeffs!AQ14</f>
        <v>0.19800000000000001</v>
      </c>
      <c r="W15" s="9">
        <f t="shared" si="1"/>
        <v>0.57522858919092879</v>
      </c>
      <c r="X15" s="7">
        <f t="shared" si="2"/>
        <v>0.60835181418533335</v>
      </c>
      <c r="Y15" s="7">
        <f t="shared" ref="Y15:Y17" si="4">CB_14($A$6,$A$9,$A$12,$A$15,$A$21,$A$24,$A$27,$A$33,$A$42,$A$30,$A$18,$A$39,$A$36,$A$62,$A$71,$A$68,$A$48,$A$56,$D15)</f>
        <v>0.64930942762561583</v>
      </c>
      <c r="Z15" s="246">
        <f t="shared" si="0"/>
        <v>0.57522858919092879</v>
      </c>
    </row>
    <row r="16" spans="1:34" x14ac:dyDescent="0.45">
      <c r="A16" s="1"/>
      <c r="C16" s="393"/>
      <c r="D16" s="11">
        <v>0.4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63"/>
      <c r="Q16" s="7">
        <f>IF($A$18&lt;CB14_Coeffs!$AG15,CB14_Coeffs!$AH15*$A$56*(($A$56+CB14_Coeffs!$AJ15*($A$18/CB14_Coeffs!$AG15)^CB14_Coeffs!$AK15)^(-1)-($A$56+CB14_Coeffs!$AJ15)^(-1)),0)</f>
        <v>-0.13302949083152549</v>
      </c>
      <c r="R16" s="7">
        <f>IF($A$6&lt;4.5,CB14_Coeffs!$AL15,IF($A$6&gt;5.5,CB14_Coeffs!$AM15,CB14_Coeffs!$AM15+(CB14_Coeffs!$AL15-CB14_Coeffs!$AM15)*(5.5-$A$6)*(5.5-4.5)))</f>
        <v>0.59299999999999997</v>
      </c>
      <c r="S16" s="7">
        <f>SQRT(($R16^2-CB14_Coeffs!$AP15^2)+CB14_Coeffs!$AP15^2+$Q16^2*($R$28^2-CB14_Coeffs!$AP$26^2)+2*$Q16*CB14_Coeffs!$AR15*SQRT($R16^2-CB14_Coeffs!$AP15^2)*SQRT($R$28^2-CB14_Coeffs!$AP$26^2))</f>
        <v>0.56116744337306823</v>
      </c>
      <c r="T16" s="7">
        <f>IF($A$6&lt;4.5,CB14_Coeffs!$AN15,IF($A$6&gt;5.5,CB14_Coeffs!$AO15,CB14_Coeffs!$AO15+(CB14_Coeffs!$AN15-CB14_Coeffs!$AO15)*(5.5-$A$6)*(5.5-4.5)))</f>
        <v>0.26400000000000001</v>
      </c>
      <c r="U16" s="7">
        <f>SQRT($T16^2+$Q16^2*$T$28^2+2*$Q16*CB14_Coeffs!$AR15*$T16*T$28)</f>
        <v>0.23393662235772306</v>
      </c>
      <c r="V16" s="7">
        <f>CB14_Coeffs!AQ15</f>
        <v>0.20599999999999999</v>
      </c>
      <c r="W16" s="9">
        <f t="shared" si="1"/>
        <v>0.60797635051209487</v>
      </c>
      <c r="X16" s="7">
        <f t="shared" si="2"/>
        <v>0.64192775511112277</v>
      </c>
      <c r="Y16" s="7">
        <f t="shared" si="4"/>
        <v>0.66338859356259894</v>
      </c>
      <c r="Z16" s="246">
        <f t="shared" si="0"/>
        <v>0.60797635051209487</v>
      </c>
    </row>
    <row r="17" spans="1:26" ht="15" x14ac:dyDescent="0.5">
      <c r="A17" s="4" t="s">
        <v>11</v>
      </c>
      <c r="C17" s="393"/>
      <c r="D17" s="11">
        <v>0.5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63"/>
      <c r="Q17" s="7">
        <f>IF($A$18&lt;CB14_Coeffs!$AG16,CB14_Coeffs!$AH16*$A$56*(($A$56+CB14_Coeffs!$AJ16*($A$18/CB14_Coeffs!$AG16)^CB14_Coeffs!$AK16)^(-1)-($A$56+CB14_Coeffs!$AJ16)^(-1)),0)</f>
        <v>-9.1503745070104184E-2</v>
      </c>
      <c r="R17" s="7">
        <f>IF($A$6&lt;4.5,CB14_Coeffs!$AL16,IF($A$6&gt;5.5,CB14_Coeffs!$AM16,CB14_Coeffs!$AM16+(CB14_Coeffs!$AL16-CB14_Coeffs!$AM16)*(5.5-$A$6)*(5.5-4.5)))</f>
        <v>0.61099999999999999</v>
      </c>
      <c r="S17" s="7">
        <f>SQRT(($R17^2-CB14_Coeffs!$AP16^2)+CB14_Coeffs!$AP16^2+$Q17^2*($R$28^2-CB14_Coeffs!$AP$26^2)+2*$Q17*CB14_Coeffs!$AR16*SQRT($R17^2-CB14_Coeffs!$AP16^2)*SQRT($R$28^2-CB14_Coeffs!$AP$26^2))</f>
        <v>0.5904336747908786</v>
      </c>
      <c r="T17" s="7">
        <f>IF($A$6&lt;4.5,CB14_Coeffs!$AN16,IF($A$6&gt;5.5,CB14_Coeffs!$AO16,CB14_Coeffs!$AO16+(CB14_Coeffs!$AN16-CB14_Coeffs!$AO16)*(5.5-$A$6)*(5.5-4.5)))</f>
        <v>0.26300000000000001</v>
      </c>
      <c r="U17" s="7">
        <f>SQRT($T17^2+$Q17^2*$T$28^2+2*$Q17*CB14_Coeffs!$AR16*$T17*T$28)</f>
        <v>0.24379579481609026</v>
      </c>
      <c r="V17" s="7">
        <f>CB14_Coeffs!AQ16</f>
        <v>0.20799999999999999</v>
      </c>
      <c r="W17" s="9">
        <f t="shared" si="1"/>
        <v>0.6387865949572441</v>
      </c>
      <c r="X17" s="7">
        <f t="shared" si="2"/>
        <v>0.6717978221883949</v>
      </c>
      <c r="Y17" s="7">
        <f t="shared" si="4"/>
        <v>0.63183265564190383</v>
      </c>
      <c r="Z17" s="246">
        <f t="shared" si="0"/>
        <v>0.6387865949572441</v>
      </c>
    </row>
    <row r="18" spans="1:26" x14ac:dyDescent="0.45">
      <c r="A18" s="5">
        <f>Main!$B$39</f>
        <v>360</v>
      </c>
      <c r="B18" s="94" t="str">
        <f>IF($A$18&lt;150,"! Not Applicable !", IF(AND($A$18&gt;=150, $A$18&lt;=1500),"","! Not Applicable !"))</f>
        <v/>
      </c>
      <c r="C18" s="393"/>
      <c r="D18" s="11">
        <v>0.75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63"/>
      <c r="Q18" s="7">
        <f>IF($A$18&lt;CB14_Coeffs!$AG17,CB14_Coeffs!$AH17*$A$56*(($A$56+CB14_Coeffs!$AJ17*($A$18/CB14_Coeffs!$AG17)^CB14_Coeffs!$AK17)^(-1)-($A$56+CB14_Coeffs!$AJ17)^(-1)),0)</f>
        <v>-4.2813126322691318E-2</v>
      </c>
      <c r="R18" s="7">
        <f>IF($A$6&lt;4.5,CB14_Coeffs!$AL17,IF($A$6&gt;5.5,CB14_Coeffs!$AM17,CB14_Coeffs!$AM17+(CB14_Coeffs!$AL17-CB14_Coeffs!$AM17)*(5.5-$A$6)*(5.5-4.5)))</f>
        <v>0.63300000000000001</v>
      </c>
      <c r="S18" s="7">
        <f>SQRT(($R18^2-CB14_Coeffs!$AP17^2)+CB14_Coeffs!$AP17^2+$Q18^2*($R$28^2-CB14_Coeffs!$AP$26^2)+2*$Q18*CB14_Coeffs!$AR17*SQRT($R18^2-CB14_Coeffs!$AP17^2)*SQRT($R$28^2-CB14_Coeffs!$AP$26^2))</f>
        <v>0.62490641198491426</v>
      </c>
      <c r="T18" s="7">
        <f>IF($A$6&lt;4.5,CB14_Coeffs!$AN17,IF($A$6&gt;5.5,CB14_Coeffs!$AO17,CB14_Coeffs!$AO17+(CB14_Coeffs!$AN17-CB14_Coeffs!$AO17)*(5.5-$A$6)*(5.5-4.5)))</f>
        <v>0.32600000000000001</v>
      </c>
      <c r="U18" s="7">
        <f>SQRT($T18^2+$Q18^2*$T$28^2+2*$Q18*CB14_Coeffs!$AR17*$T18*T$28)</f>
        <v>0.31845657673102895</v>
      </c>
      <c r="V18" s="7">
        <f>CB14_Coeffs!AQ17</f>
        <v>0.221</v>
      </c>
      <c r="W18" s="9">
        <f t="shared" si="1"/>
        <v>0.7013719519649364</v>
      </c>
      <c r="X18" s="7">
        <f t="shared" si="2"/>
        <v>0.73536631348131876</v>
      </c>
      <c r="Y18" s="7">
        <f t="shared" ref="Y18:Y26" si="5">CB_14($A$6,$A$9,$A$12,$A$15,$A$21,$A$24,$A$27,$A$33,$A$42,$A$30,$A$18,$A$39,$A$36,$A$62,$A$71,$A$68,$A$48,$A$56,$D18)</f>
        <v>0.48775084247583184</v>
      </c>
      <c r="Z18" s="246">
        <f t="shared" si="0"/>
        <v>0.7013719519649364</v>
      </c>
    </row>
    <row r="19" spans="1:26" x14ac:dyDescent="0.45">
      <c r="C19" s="393"/>
      <c r="D19" s="39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63"/>
      <c r="Q19" s="7">
        <f>IF($A$18&lt;CB14_Coeffs!$AG18,CB14_Coeffs!$AH18*$A$56*(($A$56+CB14_Coeffs!$AJ18*($A$18/CB14_Coeffs!$AG18)^CB14_Coeffs!$AK18)^(-1)-($A$56+CB14_Coeffs!$AJ18)^(-1)),0)</f>
        <v>-2.793870573078551E-2</v>
      </c>
      <c r="R19" s="7">
        <f>IF($A$6&lt;4.5,CB14_Coeffs!$AL18,IF($A$6&gt;5.5,CB14_Coeffs!$AM18,CB14_Coeffs!$AM18+(CB14_Coeffs!$AL18-CB14_Coeffs!$AM18)*(5.5-$A$6)*(5.5-4.5)))</f>
        <v>0.628</v>
      </c>
      <c r="S19" s="7">
        <f>SQRT(($R19^2-CB14_Coeffs!$AP18^2)+CB14_Coeffs!$AP18^2+$Q19^2*($R$28^2-CB14_Coeffs!$AP$26^2)+2*$Q19*CB14_Coeffs!$AR18*SQRT($R19^2-CB14_Coeffs!$AP18^2)*SQRT($R$28^2-CB14_Coeffs!$AP$26^2))</f>
        <v>0.62360936000280598</v>
      </c>
      <c r="T19" s="7">
        <f>IF($A$6&lt;4.5,CB14_Coeffs!$AN18,IF($A$6&gt;5.5,CB14_Coeffs!$AO18,CB14_Coeffs!$AO18+(CB14_Coeffs!$AN18-CB14_Coeffs!$AO18)*(5.5-$A$6)*(5.5-4.5)))</f>
        <v>0.35299999999999998</v>
      </c>
      <c r="U19" s="7">
        <f>SQRT($T19^2+$Q19^2*$T$28^2+2*$Q19*CB14_Coeffs!$AR18*$T19*T$28)</f>
        <v>0.3488894477737508</v>
      </c>
      <c r="V19" s="7">
        <f>CB14_Coeffs!AQ18</f>
        <v>0.22500000000000001</v>
      </c>
      <c r="W19" s="9">
        <f t="shared" si="1"/>
        <v>0.7145715364125429</v>
      </c>
      <c r="X19" s="7">
        <f t="shared" si="2"/>
        <v>0.7491578476202343</v>
      </c>
      <c r="Y19" s="7">
        <f t="shared" si="5"/>
        <v>0.41482316112110362</v>
      </c>
      <c r="Z19" s="246">
        <f t="shared" si="0"/>
        <v>0.7145715364125429</v>
      </c>
    </row>
    <row r="20" spans="1:26" ht="15" x14ac:dyDescent="0.5">
      <c r="A20" s="4" t="s">
        <v>4</v>
      </c>
      <c r="C20" s="393"/>
      <c r="D20" s="39">
        <v>1.5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63"/>
      <c r="Q20" s="7">
        <f>IF($A$18&lt;CB14_Coeffs!$AG19,CB14_Coeffs!$AH19*$A$56*(($A$56+CB14_Coeffs!$AJ19*($A$18/CB14_Coeffs!$AG19)^CB14_Coeffs!$AK19)^(-1)-($A$56+CB14_Coeffs!$AJ19)^(-1)),0)</f>
        <v>-1.4648170523813373E-2</v>
      </c>
      <c r="R20" s="7">
        <f>IF($A$6&lt;4.5,CB14_Coeffs!$AL19,IF($A$6&gt;5.5,CB14_Coeffs!$AM19,CB14_Coeffs!$AM19+(CB14_Coeffs!$AL19-CB14_Coeffs!$AM19)*(5.5-$A$6)*(5.5-4.5)))</f>
        <v>0.60299999999999998</v>
      </c>
      <c r="S20" s="7">
        <f>SQRT(($R20^2-CB14_Coeffs!$AP19^2)+CB14_Coeffs!$AP19^2+$Q20^2*($R$28^2-CB14_Coeffs!$AP$26^2)+2*$Q20*CB14_Coeffs!$AR19*SQRT($R20^2-CB14_Coeffs!$AP19^2)*SQRT($R$28^2-CB14_Coeffs!$AP$26^2))</f>
        <v>0.60122080671323541</v>
      </c>
      <c r="T20" s="7">
        <f>IF($A$6&lt;4.5,CB14_Coeffs!$AN19,IF($A$6&gt;5.5,CB14_Coeffs!$AO19,CB14_Coeffs!$AO19+(CB14_Coeffs!$AN19-CB14_Coeffs!$AO19)*(5.5-$A$6)*(5.5-4.5)))</f>
        <v>0.39900000000000002</v>
      </c>
      <c r="U20" s="7">
        <f>SQRT($T20^2+$Q20^2*$T$28^2+2*$Q20*CB14_Coeffs!$AR19*$T20*T$28)</f>
        <v>0.39730740606076476</v>
      </c>
      <c r="V20" s="7">
        <f>CB14_Coeffs!AQ19</f>
        <v>0.222</v>
      </c>
      <c r="W20" s="9">
        <f t="shared" si="1"/>
        <v>0.72063835128006271</v>
      </c>
      <c r="X20" s="7">
        <f t="shared" si="2"/>
        <v>0.75405811005230028</v>
      </c>
      <c r="Y20" s="7">
        <f t="shared" si="5"/>
        <v>0.3275682143865366</v>
      </c>
      <c r="Z20" s="246">
        <f t="shared" si="0"/>
        <v>0.72063835128006271</v>
      </c>
    </row>
    <row r="21" spans="1:26" x14ac:dyDescent="0.45">
      <c r="A21" s="5">
        <f>Main!$B$45</f>
        <v>0</v>
      </c>
      <c r="B21" s="94" t="str">
        <f>IF(AND($A$21=1,$A$6&lt;=8),"",IF($A$21=0,"","! Not Applicable !"))</f>
        <v/>
      </c>
      <c r="C21" s="393"/>
      <c r="D21" s="39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63"/>
      <c r="Q21" s="7">
        <f>IF($A$18&lt;CB14_Coeffs!$AG20,CB14_Coeffs!$AH20*$A$56*(($A$56+CB14_Coeffs!$AJ20*($A$18/CB14_Coeffs!$AG20)^CB14_Coeffs!$AK20)^(-1)-($A$56+CB14_Coeffs!$AJ20)^(-1)),0)</f>
        <v>-4.2729785235319012E-3</v>
      </c>
      <c r="R21" s="7">
        <f>IF($A$6&lt;4.5,CB14_Coeffs!$AL20,IF($A$6&gt;5.5,CB14_Coeffs!$AM20,CB14_Coeffs!$AM20+(CB14_Coeffs!$AL20-CB14_Coeffs!$AM20)*(5.5-$A$6)*(5.5-4.5)))</f>
        <v>0.58799999999999997</v>
      </c>
      <c r="S21" s="7">
        <f>SQRT(($R21^2-CB14_Coeffs!$AP20^2)+CB14_Coeffs!$AP20^2+$Q21^2*($R$28^2-CB14_Coeffs!$AP$26^2)+2*$Q21*CB14_Coeffs!$AR20*SQRT($R21^2-CB14_Coeffs!$AP20^2)*SQRT($R$28^2-CB14_Coeffs!$AP$26^2))</f>
        <v>0.58757515069261779</v>
      </c>
      <c r="T21" s="7">
        <f>IF($A$6&lt;4.5,CB14_Coeffs!$AN20,IF($A$6&gt;5.5,CB14_Coeffs!$AO20,CB14_Coeffs!$AO20+(CB14_Coeffs!$AN20-CB14_Coeffs!$AO20)*(5.5-$A$6)*(5.5-4.5)))</f>
        <v>0.4</v>
      </c>
      <c r="U21" s="7">
        <f>SQRT($T21^2+$Q21^2*$T$28^2+2*$Q21*CB14_Coeffs!$AR20*$T21*T$28)</f>
        <v>0.39959214050895414</v>
      </c>
      <c r="V21" s="7">
        <f>CB14_Coeffs!AQ20</f>
        <v>0.22600000000000001</v>
      </c>
      <c r="W21" s="9">
        <f t="shared" si="1"/>
        <v>0.71057612995933117</v>
      </c>
      <c r="X21" s="7">
        <f t="shared" si="2"/>
        <v>0.74565034464417723</v>
      </c>
      <c r="Y21" s="7">
        <f t="shared" si="5"/>
        <v>0.26210473457776667</v>
      </c>
      <c r="Z21" s="246">
        <f t="shared" si="0"/>
        <v>0.71057612995933117</v>
      </c>
    </row>
    <row r="22" spans="1:26" x14ac:dyDescent="0.45">
      <c r="A22" s="5"/>
      <c r="C22" s="393"/>
      <c r="D22" s="39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63"/>
      <c r="Q22" s="7">
        <f>IF($A$18&lt;CB14_Coeffs!$AG21,CB14_Coeffs!$AH21*$A$56*(($A$56+CB14_Coeffs!$AJ21*($A$18/CB14_Coeffs!$AG21)^CB14_Coeffs!$AK21)^(-1)-($A$56+CB14_Coeffs!$AJ21)^(-1)),0)</f>
        <v>0</v>
      </c>
      <c r="R22" s="7">
        <f>IF($A$6&lt;4.5,CB14_Coeffs!$AL21,IF($A$6&gt;5.5,CB14_Coeffs!$AM21,CB14_Coeffs!$AM21+(CB14_Coeffs!$AL21-CB14_Coeffs!$AM21)*(5.5-$A$6)*(5.5-4.5)))</f>
        <v>0.57799999999999996</v>
      </c>
      <c r="S22" s="7">
        <f>SQRT(($R22^2-CB14_Coeffs!$AP21^2)+CB14_Coeffs!$AP21^2+$Q22^2*($R$28^2-CB14_Coeffs!$AP$26^2)+2*$Q22*CB14_Coeffs!$AR21*SQRT($R22^2-CB14_Coeffs!$AP21^2)*SQRT($R$28^2-CB14_Coeffs!$AP$26^2))</f>
        <v>0.57799999999999996</v>
      </c>
      <c r="T22" s="7">
        <f>IF($A$6&lt;4.5,CB14_Coeffs!$AN21,IF($A$6&gt;5.5,CB14_Coeffs!$AO21,CB14_Coeffs!$AO21+(CB14_Coeffs!$AN21-CB14_Coeffs!$AO21)*(5.5-$A$6)*(5.5-4.5)))</f>
        <v>0.41699999999999998</v>
      </c>
      <c r="U22" s="7">
        <f>SQRT($T22^2+$Q22^2*$T$28^2+2*$Q22*CB14_Coeffs!$AR21*$T22*T$28)</f>
        <v>0.41699999999999998</v>
      </c>
      <c r="V22" s="7">
        <f>CB14_Coeffs!AQ21</f>
        <v>0.22900000000000001</v>
      </c>
      <c r="W22" s="9">
        <f t="shared" si="1"/>
        <v>0.71272224603978784</v>
      </c>
      <c r="X22" s="7">
        <f t="shared" si="2"/>
        <v>0.74860804163460593</v>
      </c>
      <c r="Y22" s="7">
        <f t="shared" si="5"/>
        <v>0.19513927111428425</v>
      </c>
      <c r="Z22" s="246">
        <f t="shared" si="0"/>
        <v>0.71272224603978784</v>
      </c>
    </row>
    <row r="23" spans="1:26" ht="15" x14ac:dyDescent="0.5">
      <c r="A23" s="4" t="s">
        <v>5</v>
      </c>
      <c r="C23" s="393"/>
      <c r="D23" s="39">
        <v>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63"/>
      <c r="Q23" s="7">
        <f>IF($A$18&lt;CB14_Coeffs!$AG22,CB14_Coeffs!$AH22*$A$56*(($A$56+CB14_Coeffs!$AJ22*($A$18/CB14_Coeffs!$AG22)^CB14_Coeffs!$AK22)^(-1)-($A$56+CB14_Coeffs!$AJ22)^(-1)),0)</f>
        <v>0</v>
      </c>
      <c r="R23" s="7">
        <f>IF($A$6&lt;4.5,CB14_Coeffs!$AL22,IF($A$6&gt;5.5,CB14_Coeffs!$AM22,CB14_Coeffs!$AM22+(CB14_Coeffs!$AL22-CB14_Coeffs!$AM22)*(5.5-$A$6)*(5.5-4.5)))</f>
        <v>0.55900000000000005</v>
      </c>
      <c r="S23" s="7">
        <f>SQRT(($R23^2-CB14_Coeffs!$AP22^2)+CB14_Coeffs!$AP22^2+$Q23^2*($R$28^2-CB14_Coeffs!$AP$26^2)+2*$Q23*CB14_Coeffs!$AR22*SQRT($R23^2-CB14_Coeffs!$AP22^2)*SQRT($R$28^2-CB14_Coeffs!$AP$26^2))</f>
        <v>0.55900000000000005</v>
      </c>
      <c r="T23" s="7">
        <f>IF($A$6&lt;4.5,CB14_Coeffs!$AN22,IF($A$6&gt;5.5,CB14_Coeffs!$AO22,CB14_Coeffs!$AO22+(CB14_Coeffs!$AN22-CB14_Coeffs!$AO22)*(5.5-$A$6)*(5.5-4.5)))</f>
        <v>0.39300000000000002</v>
      </c>
      <c r="U23" s="7">
        <f>SQRT($T23^2+$Q23^2*$T$28^2+2*$Q23*CB14_Coeffs!$AR22*$T23*T$28)</f>
        <v>0.39300000000000002</v>
      </c>
      <c r="V23" s="7">
        <f>CB14_Coeffs!AQ22</f>
        <v>0.23699999999999999</v>
      </c>
      <c r="W23" s="9">
        <f t="shared" si="1"/>
        <v>0.68332276414590498</v>
      </c>
      <c r="X23" s="7">
        <f t="shared" si="2"/>
        <v>0.72325583302176011</v>
      </c>
      <c r="Y23" s="7">
        <f t="shared" si="5"/>
        <v>0.15195943949934018</v>
      </c>
      <c r="Z23" s="246">
        <f t="shared" si="0"/>
        <v>0.68332276414590498</v>
      </c>
    </row>
    <row r="24" spans="1:26" x14ac:dyDescent="0.45">
      <c r="A24" s="5">
        <f>Main!$B$48</f>
        <v>0</v>
      </c>
      <c r="B24" s="94"/>
      <c r="C24" s="393"/>
      <c r="D24" s="39">
        <v>5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63"/>
      <c r="Q24" s="7">
        <f>IF($A$18&lt;CB14_Coeffs!$AG23,CB14_Coeffs!$AH23*$A$56*(($A$56+CB14_Coeffs!$AJ23*($A$18/CB14_Coeffs!$AG23)^CB14_Coeffs!$AK23)^(-1)-($A$56+CB14_Coeffs!$AJ23)^(-1)),0)</f>
        <v>0</v>
      </c>
      <c r="R24" s="7">
        <f>IF($A$6&lt;4.5,CB14_Coeffs!$AL23,IF($A$6&gt;5.5,CB14_Coeffs!$AM23,CB14_Coeffs!$AM23+(CB14_Coeffs!$AL23-CB14_Coeffs!$AM23)*(5.5-$A$6)*(5.5-4.5)))</f>
        <v>0.55100000000000005</v>
      </c>
      <c r="S24" s="7">
        <f>SQRT(($R24^2-CB14_Coeffs!$AP23^2)+CB14_Coeffs!$AP23^2+$Q24^2*($R$28^2-CB14_Coeffs!$AP$26^2)+2*$Q24*CB14_Coeffs!$AR23*SQRT($R24^2-CB14_Coeffs!$AP23^2)*SQRT($R$28^2-CB14_Coeffs!$AP$26^2))</f>
        <v>0.55100000000000005</v>
      </c>
      <c r="T24" s="7">
        <f>IF($A$6&lt;4.5,CB14_Coeffs!$AN23,IF($A$6&gt;5.5,CB14_Coeffs!$AO23,CB14_Coeffs!$AO23+(CB14_Coeffs!$AN23-CB14_Coeffs!$AO23)*(5.5-$A$6)*(5.5-4.5)))</f>
        <v>0.42099999999999999</v>
      </c>
      <c r="U24" s="7">
        <f>SQRT($T24^2+$Q24^2*$T$28^2+2*$Q24*CB14_Coeffs!$AR23*$T24*T$28)</f>
        <v>0.42099999999999999</v>
      </c>
      <c r="V24" s="7">
        <f>CB14_Coeffs!AQ23</f>
        <v>0.23699999999999999</v>
      </c>
      <c r="W24" s="9">
        <f t="shared" si="1"/>
        <v>0.69342771793460933</v>
      </c>
      <c r="X24" s="7">
        <f t="shared" si="2"/>
        <v>0.73281034381345911</v>
      </c>
      <c r="Y24" s="7">
        <f t="shared" si="5"/>
        <v>0.11573893331380433</v>
      </c>
      <c r="Z24" s="246">
        <f t="shared" si="0"/>
        <v>0.69342771793460933</v>
      </c>
    </row>
    <row r="25" spans="1:26" x14ac:dyDescent="0.45">
      <c r="C25" s="393"/>
      <c r="D25" s="39">
        <v>7.5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63"/>
      <c r="Q25" s="7">
        <f>IF($A$18&lt;CB14_Coeffs!$AG24,CB14_Coeffs!$AH24*$A$56*(($A$56+CB14_Coeffs!$AJ24*($A$18/CB14_Coeffs!$AG24)^CB14_Coeffs!$AK24)^(-1)-($A$56+CB14_Coeffs!$AJ24)^(-1)),0)</f>
        <v>0</v>
      </c>
      <c r="R25" s="7">
        <f>IF($A$6&lt;4.5,CB14_Coeffs!$AL24,IF($A$6&gt;5.5,CB14_Coeffs!$AM24,CB14_Coeffs!$AM24+(CB14_Coeffs!$AL24-CB14_Coeffs!$AM24)*(5.5-$A$6)*(5.5-4.5)))</f>
        <v>0.54600000000000004</v>
      </c>
      <c r="S25" s="7">
        <f>SQRT(($R25^2-CB14_Coeffs!$AP24^2)+CB14_Coeffs!$AP24^2+$Q25^2*($R$28^2-CB14_Coeffs!$AP$26^2)+2*$Q25*CB14_Coeffs!$AR24*SQRT($R25^2-CB14_Coeffs!$AP24^2)*SQRT($R$28^2-CB14_Coeffs!$AP$26^2))</f>
        <v>0.54600000000000004</v>
      </c>
      <c r="T25" s="7">
        <f>IF($A$6&lt;4.5,CB14_Coeffs!$AN24,IF($A$6&gt;5.5,CB14_Coeffs!$AO24,CB14_Coeffs!$AO24+(CB14_Coeffs!$AN24-CB14_Coeffs!$AO24)*(5.5-$A$6)*(5.5-4.5)))</f>
        <v>0.438</v>
      </c>
      <c r="U25" s="7">
        <f>SQRT($T25^2+$Q25^2*$T$28^2+2*$Q25*CB14_Coeffs!$AR24*$T25*T$28)</f>
        <v>0.438</v>
      </c>
      <c r="V25" s="7">
        <f>CB14_Coeffs!AQ24</f>
        <v>0.27100000000000002</v>
      </c>
      <c r="W25" s="9">
        <f t="shared" si="1"/>
        <v>0.69997142798831447</v>
      </c>
      <c r="X25" s="7">
        <f t="shared" si="2"/>
        <v>0.75060042632548518</v>
      </c>
      <c r="Y25" s="7">
        <f t="shared" si="5"/>
        <v>5.510698281344615E-2</v>
      </c>
      <c r="Z25" s="246">
        <f t="shared" si="0"/>
        <v>0.69997142798831447</v>
      </c>
    </row>
    <row r="26" spans="1:26" ht="15" x14ac:dyDescent="0.5">
      <c r="A26" s="4" t="s">
        <v>79</v>
      </c>
      <c r="C26" s="393"/>
      <c r="D26" s="39">
        <v>10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63"/>
      <c r="Q26" s="7">
        <f>IF($A$18&lt;CB14_Coeffs!$AG25,CB14_Coeffs!$AH25*$A$56*(($A$56+CB14_Coeffs!$AJ25*($A$18/CB14_Coeffs!$AG25)^CB14_Coeffs!$AK25)^(-1)-($A$56+CB14_Coeffs!$AJ25)^(-1)),0)</f>
        <v>0</v>
      </c>
      <c r="R26" s="7">
        <f>IF($A$6&lt;4.5,CB14_Coeffs!$AL25,IF($A$6&gt;5.5,CB14_Coeffs!$AM25,CB14_Coeffs!$AM25+(CB14_Coeffs!$AL25-CB14_Coeffs!$AM25)*(5.5-$A$6)*(5.5-4.5)))</f>
        <v>0.54300000000000004</v>
      </c>
      <c r="S26" s="7">
        <f>SQRT(($R26^2-CB14_Coeffs!$AP25^2)+CB14_Coeffs!$AP25^2+$Q26^2*($R$28^2-CB14_Coeffs!$AP$26^2)+2*$Q26*CB14_Coeffs!$AR25*SQRT($R26^2-CB14_Coeffs!$AP25^2)*SQRT($R$28^2-CB14_Coeffs!$AP$26^2))</f>
        <v>0.54300000000000004</v>
      </c>
      <c r="T26" s="7">
        <f>IF($A$6&lt;4.5,CB14_Coeffs!$AN25,IF($A$6&gt;5.5,CB14_Coeffs!$AO25,CB14_Coeffs!$AO25+(CB14_Coeffs!$AN25-CB14_Coeffs!$AO25)*(5.5-$A$6)*(5.5-4.5)))</f>
        <v>0.438</v>
      </c>
      <c r="U26" s="7">
        <f>SQRT($T26^2+$Q26^2*$T$28^2+2*$Q26*CB14_Coeffs!$AR25*$T26*T$28)</f>
        <v>0.438</v>
      </c>
      <c r="V26" s="7">
        <f>CB14_Coeffs!AQ25</f>
        <v>0.28999999999999998</v>
      </c>
      <c r="W26" s="9">
        <f t="shared" si="1"/>
        <v>0.69763385812329959</v>
      </c>
      <c r="X26" s="7">
        <f t="shared" si="2"/>
        <v>0.75550843807332824</v>
      </c>
      <c r="Y26" s="7">
        <f t="shared" si="5"/>
        <v>2.6674046105361681E-2</v>
      </c>
      <c r="Z26" s="246">
        <f t="shared" si="0"/>
        <v>0.69763385812329959</v>
      </c>
    </row>
    <row r="27" spans="1:26" x14ac:dyDescent="0.45">
      <c r="A27" s="29">
        <f>Main!$B$51</f>
        <v>0</v>
      </c>
      <c r="Y27" s="7"/>
      <c r="Z27" s="7"/>
    </row>
    <row r="28" spans="1:26" x14ac:dyDescent="0.45">
      <c r="C28" s="201" t="s">
        <v>34</v>
      </c>
      <c r="D28" s="40">
        <v>0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63"/>
      <c r="Q28" s="7">
        <f>IF($A$18&lt;CB14_Coeffs!$AG26,CB14_Coeffs!$AH26*$A$56*(($A$56+CB14_Coeffs!$AJ26*($A$18/CB14_Coeffs!$AG26)^CB14_Coeffs!$AK26)^(-1)-($A$56+CB14_Coeffs!$AJ26)^(-1)),0)</f>
        <v>-0.19227613167163699</v>
      </c>
      <c r="R28" s="7">
        <f>IF($A$6&lt;4.5,CB14_Coeffs!$AL26,IF($A$6&gt;5.5,CB14_Coeffs!$AM26,CB14_Coeffs!$AM26+(CB14_Coeffs!$AL26-CB14_Coeffs!$AM26)*(5.5-$A$6)*(5.5-4.5)))</f>
        <v>0.49199999999999999</v>
      </c>
      <c r="S28" s="7">
        <f>SQRT(($R28^2-CB14_Coeffs!$AP26^2)+CB14_Coeffs!$AP26^2+$Q28^2*($R$28^2-CB14_Coeffs!$AP26^2)+2*$Q28*CB14_Coeffs!$AR26*SQRT($R28^2-CB14_Coeffs!$AP26^2)*SQRT($R$28^2-CB14_Coeffs!$AP26^2))</f>
        <v>0.43498191635661454</v>
      </c>
      <c r="T28" s="7">
        <f>IF($A$6&lt;4.5,CB14_Coeffs!$AN26,IF($A$6&gt;5.5,CB14_Coeffs!$AO26,CB14_Coeffs!$AO26+(CB14_Coeffs!$AN26-CB14_Coeffs!$AO26)*(5.5-$A$6)*(5.5-4.5)))</f>
        <v>0.32200000000000001</v>
      </c>
      <c r="U28" s="7">
        <f>SQRT($T28^2+$Q28^2*$T$28^2+2*$Q28*CB14_Coeffs!$AR26*$T28*T$28)</f>
        <v>0.26008708560173294</v>
      </c>
      <c r="V28" s="7">
        <f>CB14_Coeffs!AQ26</f>
        <v>0.16600000000000001</v>
      </c>
      <c r="W28" s="9">
        <f>SQRT(S28^2+U28^2)</f>
        <v>0.50680820795847015</v>
      </c>
      <c r="X28" s="7">
        <f>SQRT(V28^2+W28^2)</f>
        <v>0.53330156539623619</v>
      </c>
      <c r="Y28" s="7">
        <f>CB_14($A$6,$A$9,$A$12,$A$15,$A$21,$A$24,$A$27,$A$33,$A$42,$A$30,$A$18,$A$39,$A$36,$A$62,$A$71,$A$68,$A$48,$A$56,$D28)</f>
        <v>0.29774794685536204</v>
      </c>
      <c r="Z28" s="246">
        <f>W28</f>
        <v>0.50680820795847015</v>
      </c>
    </row>
    <row r="29" spans="1:26" ht="15.4" x14ac:dyDescent="0.45">
      <c r="A29" s="8" t="s">
        <v>10</v>
      </c>
      <c r="C29" s="201" t="s">
        <v>35</v>
      </c>
      <c r="D29" s="40">
        <v>-1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63"/>
      <c r="Q29" s="7">
        <f>IF($A$18&lt;CB14_Coeffs!$AG27,CB14_Coeffs!$AH27*$A$56*(($A$56+CB14_Coeffs!$AJ27*($A$18/CB14_Coeffs!$AG27)^CB14_Coeffs!$AK27)^(-1)-($A$56+CB14_Coeffs!$AJ27)^(-1)),0)</f>
        <v>-2.793870573078551E-2</v>
      </c>
      <c r="R29" s="7">
        <f>IF($A$6&lt;4.5,CB14_Coeffs!$AL27,IF($A$6&gt;5.5,CB14_Coeffs!$AM27,CB14_Coeffs!$AM27+(CB14_Coeffs!$AL27-CB14_Coeffs!$AM27)*(5.5-$A$6)*(5.5-4.5)))</f>
        <v>0.49399999999999999</v>
      </c>
      <c r="S29" s="7">
        <f>SQRT(($R29^2-CB14_Coeffs!$AP27^2)+CB14_Coeffs!$AP27^2+$Q29^2*($R$28^2-CB14_Coeffs!$AP27^2)+2*$Q29*CB14_Coeffs!$AR27*SQRT($R29^2-CB14_Coeffs!$AP27^2)*SQRT($R$28^2-CB14_Coeffs!$AP27^2))</f>
        <v>0.48816516089363349</v>
      </c>
      <c r="T29" s="7">
        <f>IF($A$6&lt;4.5,CB14_Coeffs!$AN27,IF($A$6&gt;5.5,CB14_Coeffs!$AO27,CB14_Coeffs!$AO27+(CB14_Coeffs!$AN27-CB14_Coeffs!$AO27)*(5.5-$A$6)*(5.5-4.5)))</f>
        <v>0.29699999999999999</v>
      </c>
      <c r="U29" s="7">
        <f>SQRT($T29^2+$Q29^2*$T$28^2+2*$Q29*CB14_Coeffs!$AR27*$T29*T$28)</f>
        <v>0.29092058535081577</v>
      </c>
      <c r="V29" s="7">
        <f>CB14_Coeffs!AQ27</f>
        <v>0.19</v>
      </c>
      <c r="W29" s="9">
        <f>SQRT(S29^2+U29^2)</f>
        <v>0.56827811086752966</v>
      </c>
      <c r="X29" s="7">
        <f>SQRT(V29^2+W29^2)</f>
        <v>0.59919947537624596</v>
      </c>
      <c r="Y29" s="7">
        <f>CB_14($A$6,$A$9,$A$12,$A$15,$A$21,$A$24,$A$27,$A$33,$A$42,$A$30,$A$18,$A$39,$A$36,$A$62,$A$71,$A$68,$A$48,$A$56,$D29)</f>
        <v>58.985083642924003</v>
      </c>
      <c r="Z29" s="246">
        <f>W29</f>
        <v>0.56827811086752966</v>
      </c>
    </row>
    <row r="30" spans="1:26" x14ac:dyDescent="0.45">
      <c r="A30" s="5">
        <f>Main!$B$54</f>
        <v>90</v>
      </c>
      <c r="B30" s="94" t="str">
        <f>IF(AND($A$30&gt;=15, $A$30&lt;=90),"","! Not Applicable !")</f>
        <v/>
      </c>
      <c r="C30" s="54"/>
    </row>
    <row r="31" spans="1:26" x14ac:dyDescent="0.45">
      <c r="A31" s="5"/>
      <c r="D31" s="11"/>
      <c r="E31" s="63"/>
      <c r="F31" s="36"/>
      <c r="G31" s="3"/>
      <c r="I31" s="7"/>
    </row>
    <row r="32" spans="1:26" ht="15" x14ac:dyDescent="0.5">
      <c r="A32" s="4" t="s">
        <v>7</v>
      </c>
      <c r="B32" s="134" t="s">
        <v>279</v>
      </c>
      <c r="D32" s="30"/>
      <c r="E32" s="63"/>
      <c r="F32" s="36"/>
      <c r="G32" s="3"/>
      <c r="I32" s="7"/>
    </row>
    <row r="33" spans="1:9" x14ac:dyDescent="0.45">
      <c r="A33" s="3">
        <f>Main!$B$57</f>
        <v>0.3</v>
      </c>
      <c r="B33" s="94" t="str">
        <f>IF(OR($A$33&gt;=0, $A$33&lt;=20,$A$33=-999),"","! Not Applicable !")</f>
        <v/>
      </c>
      <c r="D33" s="30"/>
      <c r="E33" s="63"/>
      <c r="F33" s="36"/>
      <c r="G33" s="3"/>
      <c r="I33" s="7"/>
    </row>
    <row r="34" spans="1:9" x14ac:dyDescent="0.45">
      <c r="A34" s="1"/>
      <c r="D34" s="30"/>
      <c r="E34" s="63"/>
      <c r="F34" s="36"/>
      <c r="G34" s="3"/>
      <c r="I34" s="7"/>
    </row>
    <row r="35" spans="1:9" ht="15" x14ac:dyDescent="0.5">
      <c r="A35" s="4" t="s">
        <v>6</v>
      </c>
      <c r="B35" s="134" t="s">
        <v>279</v>
      </c>
      <c r="D35" s="30"/>
      <c r="E35" s="63"/>
      <c r="F35" s="36"/>
      <c r="G35" s="3"/>
      <c r="I35" s="7"/>
    </row>
    <row r="36" spans="1:9" x14ac:dyDescent="0.45">
      <c r="A36" s="6">
        <f>Main!$B$60</f>
        <v>999</v>
      </c>
      <c r="B36" s="94" t="str">
        <f>IF(OR($A$36&gt;=0, $A$36&lt;=20,$A$36=999),"","! Not Applicable !")</f>
        <v/>
      </c>
      <c r="D36" s="11"/>
      <c r="E36" s="63"/>
      <c r="F36" s="36"/>
      <c r="G36" s="3"/>
    </row>
    <row r="37" spans="1:9" x14ac:dyDescent="0.45">
      <c r="A37" s="3"/>
      <c r="D37" s="11"/>
      <c r="E37" s="63"/>
      <c r="F37" s="36"/>
      <c r="G37" s="3"/>
    </row>
    <row r="38" spans="1:9" ht="14.65" x14ac:dyDescent="0.5">
      <c r="A38" s="4" t="s">
        <v>12</v>
      </c>
      <c r="B38" s="134" t="s">
        <v>279</v>
      </c>
      <c r="D38" s="11"/>
      <c r="E38" s="63"/>
      <c r="F38" s="36"/>
      <c r="G38" s="3"/>
    </row>
    <row r="39" spans="1:9" x14ac:dyDescent="0.45">
      <c r="A39" s="7">
        <f>Main!$B$66</f>
        <v>2.52</v>
      </c>
      <c r="B39" s="94" t="str">
        <f>IF(OR($A$39&gt;=0, $A$39&lt;=10, $A$39=999),"","! Not Applicable !")</f>
        <v/>
      </c>
      <c r="D39" s="11"/>
      <c r="E39" s="63"/>
      <c r="F39" s="36"/>
      <c r="G39" s="3"/>
    </row>
    <row r="40" spans="1:9" x14ac:dyDescent="0.45">
      <c r="D40" s="11"/>
      <c r="E40" s="63"/>
      <c r="F40" s="36"/>
      <c r="G40" s="3"/>
    </row>
    <row r="41" spans="1:9" x14ac:dyDescent="0.45">
      <c r="A41" s="4" t="s">
        <v>9</v>
      </c>
      <c r="B41" s="134" t="s">
        <v>279</v>
      </c>
      <c r="D41" s="11"/>
      <c r="E41" s="63"/>
      <c r="F41" s="36"/>
      <c r="G41" s="3"/>
    </row>
    <row r="42" spans="1:9" x14ac:dyDescent="0.45">
      <c r="A42" s="7">
        <f>Main!$B$69</f>
        <v>13</v>
      </c>
      <c r="D42" s="11"/>
      <c r="E42" s="63"/>
      <c r="F42" s="36"/>
      <c r="G42" s="3"/>
    </row>
    <row r="43" spans="1:9" x14ac:dyDescent="0.45">
      <c r="A43" s="3"/>
      <c r="D43" s="11"/>
      <c r="E43" s="63"/>
      <c r="F43" s="36"/>
      <c r="G43" s="3"/>
    </row>
    <row r="44" spans="1:9" ht="15" x14ac:dyDescent="0.5">
      <c r="A44" s="4" t="s">
        <v>8</v>
      </c>
      <c r="D44" s="39"/>
      <c r="E44" s="63"/>
      <c r="F44" s="36"/>
      <c r="G44" s="3"/>
    </row>
    <row r="45" spans="1:9" x14ac:dyDescent="0.45">
      <c r="A45" s="3">
        <f>Main!$B$89</f>
        <v>15</v>
      </c>
      <c r="D45" s="39"/>
      <c r="E45" s="63"/>
      <c r="F45" s="36"/>
      <c r="G45" s="3"/>
    </row>
    <row r="46" spans="1:9" x14ac:dyDescent="0.45">
      <c r="A46" s="3"/>
      <c r="D46" s="39"/>
      <c r="E46" s="63"/>
      <c r="F46" s="36"/>
      <c r="G46" s="3"/>
    </row>
    <row r="47" spans="1:9" x14ac:dyDescent="0.45">
      <c r="A47" s="11" t="s">
        <v>183</v>
      </c>
      <c r="D47" s="39"/>
      <c r="E47" s="63"/>
      <c r="F47" s="36"/>
      <c r="G47" s="3"/>
    </row>
    <row r="48" spans="1:9" x14ac:dyDescent="0.45">
      <c r="A48" s="5">
        <f>Main!$B$101</f>
        <v>0</v>
      </c>
      <c r="D48" s="39"/>
      <c r="E48" s="63"/>
      <c r="F48" s="36"/>
      <c r="G48" s="3"/>
    </row>
    <row r="49" spans="1:7" x14ac:dyDescent="0.45">
      <c r="A49" s="5"/>
      <c r="D49" s="39"/>
      <c r="E49" s="63"/>
      <c r="F49" s="36"/>
      <c r="G49" s="3"/>
    </row>
    <row r="50" spans="1:7" ht="20.25" customHeight="1" x14ac:dyDescent="0.5">
      <c r="A50" s="10" t="s">
        <v>13</v>
      </c>
      <c r="E50" s="170"/>
      <c r="F50" s="36"/>
      <c r="G50" s="3"/>
    </row>
    <row r="51" spans="1:7" x14ac:dyDescent="0.45">
      <c r="A51" s="7">
        <f>IF($A$39=999,Main!$F$112,$A$39)</f>
        <v>2.52</v>
      </c>
      <c r="B51" s="126"/>
      <c r="D51" s="40"/>
      <c r="E51" s="63"/>
      <c r="F51" s="36"/>
      <c r="G51" s="3"/>
    </row>
    <row r="52" spans="1:7" x14ac:dyDescent="0.45">
      <c r="A52" s="9"/>
      <c r="D52" s="40"/>
      <c r="E52" s="63"/>
      <c r="F52" s="36"/>
      <c r="G52" s="3"/>
    </row>
    <row r="53" spans="1:7" ht="15.75" x14ac:dyDescent="0.45">
      <c r="A53" s="139" t="s">
        <v>400</v>
      </c>
      <c r="B53" s="173"/>
      <c r="C53" s="170"/>
      <c r="D53" s="170"/>
      <c r="E53" s="170"/>
    </row>
    <row r="54" spans="1:7" x14ac:dyDescent="0.45">
      <c r="A54" s="1"/>
    </row>
    <row r="55" spans="1:7" ht="14.65" x14ac:dyDescent="0.5">
      <c r="A55" s="4" t="s">
        <v>14</v>
      </c>
    </row>
    <row r="56" spans="1:7" x14ac:dyDescent="0.45">
      <c r="A56" s="59">
        <f>A1100_CB($A$6,$A$9,$A$12,$A$15,$A$21,$A$24,$A$27,$A$42,$A$30,$A$33,$A$39,$A$36,$A$62,$A$71,$A$68,$A$48,$D$28)</f>
        <v>0.26977932932876336</v>
      </c>
    </row>
    <row r="57" spans="1:7" x14ac:dyDescent="0.45">
      <c r="A57" s="13"/>
    </row>
    <row r="58" spans="1:7" ht="14.65" x14ac:dyDescent="0.5">
      <c r="A58" s="4" t="s">
        <v>15</v>
      </c>
      <c r="B58" s="134" t="s">
        <v>800</v>
      </c>
    </row>
    <row r="59" spans="1:7" x14ac:dyDescent="0.45">
      <c r="A59" s="7">
        <f>IF((1-$A$48)*EXP(7.089-1.144*LN($A$18))+$A$48*EXP(5.359-1.102*LN($A$18))&gt;10,"NA",(1-$A$48)*EXP(7.089-1.144*LN($A$18))+$A$48*EXP(5.359-1.102*LN($A$18)))</f>
        <v>1.4266042757537531</v>
      </c>
    </row>
    <row r="60" spans="1:7" x14ac:dyDescent="0.45">
      <c r="A60" s="7"/>
    </row>
    <row r="61" spans="1:7" ht="15" x14ac:dyDescent="0.5">
      <c r="A61" s="4" t="s">
        <v>16</v>
      </c>
    </row>
    <row r="62" spans="1:7" x14ac:dyDescent="0.45">
      <c r="A62" s="7">
        <f>Main!$F$115</f>
        <v>0</v>
      </c>
    </row>
    <row r="63" spans="1:7" x14ac:dyDescent="0.45">
      <c r="A63" s="13"/>
    </row>
    <row r="64" spans="1:7" ht="14.65" x14ac:dyDescent="0.5">
      <c r="A64" s="10" t="s">
        <v>13</v>
      </c>
    </row>
    <row r="65" spans="1:26" x14ac:dyDescent="0.45">
      <c r="A65" s="7">
        <f>Main!$F$112</f>
        <v>0.39752125093235868</v>
      </c>
    </row>
    <row r="66" spans="1:26" x14ac:dyDescent="0.45">
      <c r="A66" s="9"/>
    </row>
    <row r="67" spans="1:26" ht="15" x14ac:dyDescent="0.5">
      <c r="A67" s="10" t="s">
        <v>17</v>
      </c>
    </row>
    <row r="68" spans="1:26" x14ac:dyDescent="0.45">
      <c r="A68" s="7">
        <f>Main!$F$114</f>
        <v>10.226680085791001</v>
      </c>
    </row>
    <row r="69" spans="1:26" x14ac:dyDescent="0.45">
      <c r="A69" s="9"/>
      <c r="Z69"/>
    </row>
    <row r="70" spans="1:26" ht="15" x14ac:dyDescent="0.5">
      <c r="A70" s="14" t="s">
        <v>18</v>
      </c>
    </row>
    <row r="71" spans="1:26" x14ac:dyDescent="0.45">
      <c r="A71" s="7">
        <f>Main!$F$109</f>
        <v>15</v>
      </c>
    </row>
    <row r="72" spans="1:26" x14ac:dyDescent="0.45">
      <c r="A72" s="9"/>
    </row>
    <row r="73" spans="1:26" ht="15" x14ac:dyDescent="0.5">
      <c r="A73" s="4" t="s">
        <v>19</v>
      </c>
    </row>
    <row r="74" spans="1:26" x14ac:dyDescent="0.45">
      <c r="A74" s="7">
        <f>Main!$F$116</f>
        <v>15</v>
      </c>
    </row>
    <row r="78" spans="1:26" x14ac:dyDescent="0.45">
      <c r="A78" s="9"/>
    </row>
    <row r="79" spans="1:26" x14ac:dyDescent="0.45">
      <c r="A79" s="16"/>
    </row>
    <row r="80" spans="1:26" x14ac:dyDescent="0.45">
      <c r="A80" s="17"/>
    </row>
    <row r="81" spans="1:3" x14ac:dyDescent="0.45">
      <c r="A81" s="17"/>
      <c r="B81" s="54"/>
      <c r="C81" s="5"/>
    </row>
    <row r="82" spans="1:3" x14ac:dyDescent="0.45">
      <c r="A82" s="17"/>
      <c r="B82" s="54"/>
      <c r="C82" s="5"/>
    </row>
    <row r="83" spans="1:3" x14ac:dyDescent="0.45">
      <c r="A83" s="17"/>
      <c r="B83" s="55"/>
      <c r="C83" s="5"/>
    </row>
    <row r="84" spans="1:3" x14ac:dyDescent="0.45">
      <c r="A84" s="17"/>
      <c r="B84" s="55"/>
      <c r="C84" s="29"/>
    </row>
    <row r="85" spans="1:3" x14ac:dyDescent="0.45">
      <c r="A85" s="17"/>
      <c r="B85" s="55"/>
      <c r="C85" s="29"/>
    </row>
    <row r="86" spans="1:3" x14ac:dyDescent="0.45">
      <c r="A86" s="17"/>
      <c r="B86" s="56"/>
      <c r="C86" s="29"/>
    </row>
    <row r="87" spans="1:3" x14ac:dyDescent="0.45">
      <c r="A87" s="17"/>
      <c r="B87" s="55"/>
      <c r="C87" s="29"/>
    </row>
    <row r="88" spans="1:3" x14ac:dyDescent="0.45">
      <c r="A88" s="17"/>
      <c r="B88" s="55"/>
      <c r="C88" s="29"/>
    </row>
    <row r="89" spans="1:3" x14ac:dyDescent="0.45">
      <c r="A89" s="17"/>
      <c r="B89" s="55"/>
      <c r="C89" s="29"/>
    </row>
    <row r="90" spans="1:3" ht="15.4" x14ac:dyDescent="0.45">
      <c r="A90" s="18"/>
      <c r="B90" s="56"/>
      <c r="C90" s="29"/>
    </row>
    <row r="91" spans="1:3" x14ac:dyDescent="0.45">
      <c r="A91" s="17"/>
      <c r="B91" s="55"/>
      <c r="C91" s="29"/>
    </row>
    <row r="92" spans="1:3" x14ac:dyDescent="0.45">
      <c r="A92" s="15"/>
      <c r="B92" s="55"/>
      <c r="C92" s="29"/>
    </row>
    <row r="93" spans="1:3" x14ac:dyDescent="0.45">
      <c r="A93" s="17"/>
      <c r="B93" s="56"/>
      <c r="C93" s="29"/>
    </row>
    <row r="94" spans="1:3" x14ac:dyDescent="0.45">
      <c r="A94" s="17"/>
      <c r="B94" s="56"/>
      <c r="C94" s="29"/>
    </row>
    <row r="95" spans="1:3" x14ac:dyDescent="0.45">
      <c r="A95" s="17"/>
      <c r="B95" s="56"/>
      <c r="C95" s="29"/>
    </row>
    <row r="96" spans="1:3" x14ac:dyDescent="0.45">
      <c r="A96" s="17"/>
      <c r="B96" s="56"/>
      <c r="C96" s="29"/>
    </row>
    <row r="97" spans="1:3" x14ac:dyDescent="0.45">
      <c r="A97" s="17"/>
      <c r="B97" s="56"/>
      <c r="C97" s="29"/>
    </row>
    <row r="98" spans="1:3" x14ac:dyDescent="0.45">
      <c r="A98" s="15"/>
      <c r="B98" s="55"/>
      <c r="C98" s="29"/>
    </row>
    <row r="99" spans="1:3" x14ac:dyDescent="0.45">
      <c r="A99" s="19"/>
      <c r="B99" s="55"/>
      <c r="C99" s="29"/>
    </row>
    <row r="100" spans="1:3" x14ac:dyDescent="0.45">
      <c r="B100" s="56"/>
      <c r="C100" s="29"/>
    </row>
    <row r="101" spans="1:3" x14ac:dyDescent="0.45">
      <c r="B101" s="56"/>
      <c r="C101" s="29"/>
    </row>
    <row r="102" spans="1:3" x14ac:dyDescent="0.45">
      <c r="B102" s="56"/>
      <c r="C102" s="29"/>
    </row>
    <row r="103" spans="1:3" x14ac:dyDescent="0.45">
      <c r="B103" s="56"/>
      <c r="C103" s="29"/>
    </row>
    <row r="104" spans="1:3" x14ac:dyDescent="0.45">
      <c r="B104" s="56"/>
      <c r="C104" s="29"/>
    </row>
  </sheetData>
  <sheetProtection password="EDF4" sheet="1" objects="1" scenarios="1"/>
  <mergeCells count="3">
    <mergeCell ref="C6:C26"/>
    <mergeCell ref="Y4:Z4"/>
    <mergeCell ref="E4:P4"/>
  </mergeCells>
  <pageMargins left="0.7" right="0.7" top="0.75" bottom="0.75" header="0.3" footer="0.3"/>
  <ignoredErrors>
    <ignoredError sqref="Y27:Z27 Z6 Z7:Z26 Z29 Z28" evalError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Z28"/>
  <sheetViews>
    <sheetView workbookViewId="0">
      <selection sqref="A1:XFD1048576"/>
    </sheetView>
  </sheetViews>
  <sheetFormatPr defaultColWidth="8.86328125" defaultRowHeight="14.25" x14ac:dyDescent="0.45"/>
  <cols>
    <col min="1" max="1" width="8.86328125" style="28"/>
    <col min="2" max="2" width="8.86328125" style="61"/>
    <col min="3" max="5" width="8.86328125" style="27"/>
    <col min="6" max="6" width="9.1328125" style="27" customWidth="1"/>
    <col min="7" max="8" width="8.86328125" style="27"/>
    <col min="9" max="9" width="8.86328125" style="28"/>
    <col min="10" max="32" width="8.86328125" style="27"/>
    <col min="33" max="33" width="8.86328125" style="29"/>
    <col min="34" max="35" width="8.86328125" style="27"/>
    <col min="36" max="43" width="8.86328125" style="29"/>
    <col min="51" max="51" width="5.3984375" customWidth="1"/>
  </cols>
  <sheetData>
    <row r="1" spans="1:52" ht="15.75" customHeight="1" x14ac:dyDescent="0.45">
      <c r="A1" s="57" t="s">
        <v>801</v>
      </c>
      <c r="AY1" s="27"/>
      <c r="AZ1" s="6"/>
    </row>
    <row r="2" spans="1:52" s="114" customFormat="1" ht="15.75" customHeight="1" x14ac:dyDescent="0.35"/>
    <row r="3" spans="1:52" s="50" customFormat="1" ht="15.75" customHeight="1" x14ac:dyDescent="0.45">
      <c r="A3" s="43" t="s">
        <v>21</v>
      </c>
      <c r="B3" s="44" t="s">
        <v>36</v>
      </c>
      <c r="C3" s="44" t="s">
        <v>37</v>
      </c>
      <c r="D3" s="44" t="s">
        <v>38</v>
      </c>
      <c r="E3" s="44" t="s">
        <v>39</v>
      </c>
      <c r="F3" s="44" t="s">
        <v>40</v>
      </c>
      <c r="G3" s="44" t="s">
        <v>41</v>
      </c>
      <c r="H3" s="43" t="s">
        <v>42</v>
      </c>
      <c r="I3" s="43" t="s">
        <v>43</v>
      </c>
      <c r="J3" s="43" t="s">
        <v>44</v>
      </c>
      <c r="K3" s="43" t="s">
        <v>45</v>
      </c>
      <c r="L3" s="43" t="s">
        <v>46</v>
      </c>
      <c r="M3" s="43" t="s">
        <v>47</v>
      </c>
      <c r="N3" s="43" t="s">
        <v>48</v>
      </c>
      <c r="O3" s="43" t="s">
        <v>49</v>
      </c>
      <c r="P3" s="43" t="s">
        <v>50</v>
      </c>
      <c r="Q3" s="43" t="s">
        <v>51</v>
      </c>
      <c r="R3" s="43" t="s">
        <v>52</v>
      </c>
      <c r="S3" s="43" t="s">
        <v>53</v>
      </c>
      <c r="T3" s="43" t="s">
        <v>54</v>
      </c>
      <c r="U3" s="43" t="s">
        <v>55</v>
      </c>
      <c r="V3" s="43" t="s">
        <v>56</v>
      </c>
      <c r="W3" s="45" t="s">
        <v>57</v>
      </c>
      <c r="X3" s="45" t="s">
        <v>58</v>
      </c>
      <c r="Y3" s="45" t="s">
        <v>59</v>
      </c>
      <c r="Z3" s="44" t="s">
        <v>60</v>
      </c>
      <c r="AA3" s="44" t="s">
        <v>61</v>
      </c>
      <c r="AB3" s="44" t="s">
        <v>62</v>
      </c>
      <c r="AC3" s="44" t="s">
        <v>63</v>
      </c>
      <c r="AD3" s="44" t="s">
        <v>64</v>
      </c>
      <c r="AE3" s="44" t="s">
        <v>65</v>
      </c>
      <c r="AF3" s="44" t="s">
        <v>66</v>
      </c>
      <c r="AG3" s="44" t="s">
        <v>67</v>
      </c>
      <c r="AH3" s="44" t="s">
        <v>68</v>
      </c>
      <c r="AI3" s="44" t="s">
        <v>69</v>
      </c>
      <c r="AJ3" s="46" t="s">
        <v>70</v>
      </c>
      <c r="AK3" s="46" t="s">
        <v>71</v>
      </c>
      <c r="AL3" s="47" t="s">
        <v>72</v>
      </c>
      <c r="AM3" s="47" t="s">
        <v>73</v>
      </c>
      <c r="AN3" s="47" t="s">
        <v>74</v>
      </c>
      <c r="AO3" s="47" t="s">
        <v>75</v>
      </c>
      <c r="AP3" s="47" t="s">
        <v>76</v>
      </c>
      <c r="AQ3" s="47" t="s">
        <v>77</v>
      </c>
      <c r="AR3" s="47" t="s">
        <v>78</v>
      </c>
      <c r="AS3" s="48"/>
      <c r="AT3" s="47"/>
      <c r="AU3" s="47"/>
      <c r="AV3" s="49"/>
      <c r="AW3" s="49"/>
      <c r="AY3" s="49"/>
    </row>
    <row r="4" spans="1:52" s="396" customFormat="1" ht="15.75" customHeight="1" x14ac:dyDescent="0.45"/>
    <row r="5" spans="1:52" ht="15.75" customHeight="1" x14ac:dyDescent="0.45">
      <c r="A5" s="28">
        <v>0.01</v>
      </c>
      <c r="B5" s="49">
        <v>-4.3650000000000002</v>
      </c>
      <c r="C5" s="27">
        <v>0.97699999999999998</v>
      </c>
      <c r="D5" s="27">
        <v>0.53300000000000003</v>
      </c>
      <c r="E5" s="27">
        <v>-1.4850000000000001</v>
      </c>
      <c r="F5" s="9">
        <v>-0.499</v>
      </c>
      <c r="G5" s="27">
        <v>-2.7730000000000001</v>
      </c>
      <c r="H5" s="27">
        <v>0.248</v>
      </c>
      <c r="I5" s="27">
        <v>6.7530000000000001</v>
      </c>
      <c r="J5" s="29">
        <v>0</v>
      </c>
      <c r="K5" s="27">
        <v>-0.214</v>
      </c>
      <c r="L5" s="27">
        <v>0.72</v>
      </c>
      <c r="M5" s="27">
        <v>1.0940000000000001</v>
      </c>
      <c r="N5" s="27">
        <v>2.1909999999999998</v>
      </c>
      <c r="O5" s="27">
        <v>1.4159999999999999</v>
      </c>
      <c r="P5" s="6">
        <v>-7.0000000000000001E-3</v>
      </c>
      <c r="Q5" s="27">
        <v>-0.20699999999999999</v>
      </c>
      <c r="R5" s="27">
        <v>0.39</v>
      </c>
      <c r="S5" s="6">
        <v>9.8100000000000007E-2</v>
      </c>
      <c r="T5" s="6">
        <v>3.3399999999999999E-2</v>
      </c>
      <c r="U5" s="32">
        <v>7.5500000000000003E-3</v>
      </c>
      <c r="V5" s="6">
        <v>-5.4999999999999997E-3</v>
      </c>
      <c r="W5" s="29">
        <v>0</v>
      </c>
      <c r="X5" s="6">
        <v>-3.5000000000000001E-3</v>
      </c>
      <c r="Y5" s="6">
        <v>3.5999999999999999E-3</v>
      </c>
      <c r="Z5" s="9">
        <v>0.16800000000000001</v>
      </c>
      <c r="AA5" s="9">
        <v>0.24199999999999999</v>
      </c>
      <c r="AB5" s="9">
        <v>1.4710000000000001</v>
      </c>
      <c r="AC5" s="9">
        <v>-0.71399999999999997</v>
      </c>
      <c r="AD5" s="9">
        <v>1</v>
      </c>
      <c r="AE5" s="9">
        <v>-0.33600000000000002</v>
      </c>
      <c r="AF5" s="9">
        <v>-0.27</v>
      </c>
      <c r="AG5" s="5">
        <v>865</v>
      </c>
      <c r="AH5" s="9">
        <v>-1.1859999999999999</v>
      </c>
      <c r="AI5" s="9">
        <v>1.839</v>
      </c>
      <c r="AJ5" s="5">
        <v>1.88</v>
      </c>
      <c r="AK5" s="5">
        <v>1.18</v>
      </c>
      <c r="AL5" s="9">
        <v>0.73399999999999999</v>
      </c>
      <c r="AM5" s="9">
        <v>0.49199999999999999</v>
      </c>
      <c r="AN5" s="9">
        <v>0.40400000000000003</v>
      </c>
      <c r="AO5" s="9">
        <v>0.32500000000000001</v>
      </c>
      <c r="AP5" s="9">
        <v>0.3</v>
      </c>
      <c r="AQ5" s="9">
        <v>0.16600000000000001</v>
      </c>
      <c r="AR5" s="9">
        <v>1</v>
      </c>
      <c r="AS5" s="33"/>
      <c r="AT5" s="33"/>
      <c r="AU5" s="33"/>
      <c r="AV5" s="6"/>
      <c r="AW5" s="34"/>
      <c r="AY5" s="29"/>
    </row>
    <row r="6" spans="1:52" ht="15.75" customHeight="1" x14ac:dyDescent="0.45">
      <c r="A6" s="28">
        <v>0.02</v>
      </c>
      <c r="B6" s="49">
        <v>-4.3479999999999999</v>
      </c>
      <c r="C6" s="27">
        <v>0.97599999999999998</v>
      </c>
      <c r="D6" s="27">
        <v>0.54900000000000004</v>
      </c>
      <c r="E6" s="27">
        <v>-1.488</v>
      </c>
      <c r="F6" s="9">
        <v>-0.501</v>
      </c>
      <c r="G6" s="27">
        <v>-2.7719999999999998</v>
      </c>
      <c r="H6" s="27">
        <v>0.247</v>
      </c>
      <c r="I6" s="27">
        <v>6.5019999999999998</v>
      </c>
      <c r="J6" s="29">
        <v>0</v>
      </c>
      <c r="K6" s="27">
        <v>-0.20799999999999999</v>
      </c>
      <c r="L6" s="27">
        <v>0.73</v>
      </c>
      <c r="M6" s="27">
        <v>1.149</v>
      </c>
      <c r="N6" s="27">
        <v>2.1890000000000001</v>
      </c>
      <c r="O6" s="27">
        <v>1.4530000000000001</v>
      </c>
      <c r="P6" s="6">
        <v>-1.67E-2</v>
      </c>
      <c r="Q6" s="27">
        <v>-0.19900000000000001</v>
      </c>
      <c r="R6" s="27">
        <v>0.38700000000000001</v>
      </c>
      <c r="S6" s="6">
        <v>0.1009</v>
      </c>
      <c r="T6" s="6">
        <v>3.27E-2</v>
      </c>
      <c r="U6" s="32">
        <v>7.5900000000000004E-3</v>
      </c>
      <c r="V6" s="6">
        <v>-5.4999999999999997E-3</v>
      </c>
      <c r="W6" s="29">
        <v>0</v>
      </c>
      <c r="X6" s="6">
        <v>-3.5000000000000001E-3</v>
      </c>
      <c r="Y6" s="6">
        <v>3.5999999999999999E-3</v>
      </c>
      <c r="Z6" s="9">
        <v>0.16600000000000001</v>
      </c>
      <c r="AA6" s="9">
        <v>0.24399999999999999</v>
      </c>
      <c r="AB6" s="9">
        <v>1.4670000000000001</v>
      </c>
      <c r="AC6" s="9">
        <v>-0.71099999999999997</v>
      </c>
      <c r="AD6" s="9">
        <v>1</v>
      </c>
      <c r="AE6" s="9">
        <v>-0.33900000000000002</v>
      </c>
      <c r="AF6" s="9">
        <v>-0.26300000000000001</v>
      </c>
      <c r="AG6" s="5">
        <v>865</v>
      </c>
      <c r="AH6" s="9">
        <v>-1.2190000000000001</v>
      </c>
      <c r="AI6" s="9">
        <v>1.84</v>
      </c>
      <c r="AJ6" s="5">
        <v>1.88</v>
      </c>
      <c r="AK6" s="5">
        <v>1.18</v>
      </c>
      <c r="AL6" s="9">
        <v>0.73799999999999999</v>
      </c>
      <c r="AM6" s="9">
        <v>0.496</v>
      </c>
      <c r="AN6" s="9">
        <v>0.41699999999999998</v>
      </c>
      <c r="AO6" s="9">
        <v>0.32600000000000001</v>
      </c>
      <c r="AP6" s="9">
        <v>0.3</v>
      </c>
      <c r="AQ6" s="9">
        <v>0.16600000000000001</v>
      </c>
      <c r="AR6" s="9">
        <v>0.998</v>
      </c>
      <c r="AV6" s="6"/>
      <c r="AW6" s="34"/>
      <c r="AY6" s="29"/>
    </row>
    <row r="7" spans="1:52" ht="15.75" customHeight="1" x14ac:dyDescent="0.45">
      <c r="A7" s="28">
        <v>0.03</v>
      </c>
      <c r="B7" s="49">
        <v>-4.024</v>
      </c>
      <c r="C7" s="27">
        <v>0.93100000000000005</v>
      </c>
      <c r="D7" s="27">
        <v>0.628</v>
      </c>
      <c r="E7" s="27">
        <v>-1.494</v>
      </c>
      <c r="F7" s="9">
        <v>-0.51700000000000002</v>
      </c>
      <c r="G7" s="27">
        <v>-2.782</v>
      </c>
      <c r="H7" s="27">
        <v>0.246</v>
      </c>
      <c r="I7" s="27">
        <v>6.2910000000000004</v>
      </c>
      <c r="J7" s="29">
        <v>0</v>
      </c>
      <c r="K7" s="27">
        <v>-0.21299999999999999</v>
      </c>
      <c r="L7" s="27">
        <v>0.75900000000000001</v>
      </c>
      <c r="M7" s="27">
        <v>1.29</v>
      </c>
      <c r="N7" s="27">
        <v>2.1640000000000001</v>
      </c>
      <c r="O7" s="27">
        <v>1.476</v>
      </c>
      <c r="P7" s="6">
        <v>-4.2200000000000001E-2</v>
      </c>
      <c r="Q7" s="27">
        <v>-0.20200000000000001</v>
      </c>
      <c r="R7" s="27">
        <v>0.378</v>
      </c>
      <c r="S7" s="6">
        <v>0.1095</v>
      </c>
      <c r="T7" s="6">
        <v>3.3099999999999997E-2</v>
      </c>
      <c r="U7" s="32">
        <v>7.9000000000000008E-3</v>
      </c>
      <c r="V7" s="6">
        <v>-5.7000000000000002E-3</v>
      </c>
      <c r="W7" s="29">
        <v>0</v>
      </c>
      <c r="X7" s="6">
        <v>-3.3999999999999998E-3</v>
      </c>
      <c r="Y7" s="6">
        <v>3.7000000000000002E-3</v>
      </c>
      <c r="Z7" s="9">
        <v>0.16700000000000001</v>
      </c>
      <c r="AA7" s="9">
        <v>0.246</v>
      </c>
      <c r="AB7" s="9">
        <v>1.4670000000000001</v>
      </c>
      <c r="AC7" s="9">
        <v>-0.71299999999999997</v>
      </c>
      <c r="AD7" s="9">
        <v>1</v>
      </c>
      <c r="AE7" s="9">
        <v>-0.33800000000000002</v>
      </c>
      <c r="AF7" s="9">
        <v>-0.25900000000000001</v>
      </c>
      <c r="AG7" s="5">
        <v>908</v>
      </c>
      <c r="AH7" s="9">
        <v>-1.2729999999999999</v>
      </c>
      <c r="AI7" s="9">
        <v>1.841</v>
      </c>
      <c r="AJ7" s="5">
        <v>1.88</v>
      </c>
      <c r="AK7" s="5">
        <v>1.18</v>
      </c>
      <c r="AL7" s="9">
        <v>0.747</v>
      </c>
      <c r="AM7" s="9">
        <v>0.503</v>
      </c>
      <c r="AN7" s="9">
        <v>0.44600000000000001</v>
      </c>
      <c r="AO7" s="9">
        <v>0.34399999999999997</v>
      </c>
      <c r="AP7" s="9">
        <v>0.3</v>
      </c>
      <c r="AQ7" s="9">
        <v>0.16500000000000001</v>
      </c>
      <c r="AR7" s="9">
        <v>0.98599999999999999</v>
      </c>
      <c r="AV7" s="6"/>
      <c r="AW7" s="34"/>
      <c r="AY7" s="29"/>
    </row>
    <row r="8" spans="1:52" ht="15.75" customHeight="1" x14ac:dyDescent="0.45">
      <c r="A8" s="28">
        <v>0.05</v>
      </c>
      <c r="B8" s="49">
        <v>-3.4790000000000001</v>
      </c>
      <c r="C8" s="27">
        <v>0.88700000000000001</v>
      </c>
      <c r="D8" s="27">
        <v>0.67400000000000004</v>
      </c>
      <c r="E8" s="27">
        <v>-1.3879999999999999</v>
      </c>
      <c r="F8" s="9">
        <v>-0.61499999999999999</v>
      </c>
      <c r="G8" s="27">
        <v>-2.7909999999999999</v>
      </c>
      <c r="H8" s="27">
        <v>0.24</v>
      </c>
      <c r="I8" s="27">
        <v>6.3170000000000002</v>
      </c>
      <c r="J8" s="29">
        <v>0</v>
      </c>
      <c r="K8" s="27">
        <v>-0.24399999999999999</v>
      </c>
      <c r="L8" s="27">
        <v>0.82599999999999996</v>
      </c>
      <c r="M8" s="27">
        <v>1.4490000000000001</v>
      </c>
      <c r="N8" s="27">
        <v>2.1379999999999999</v>
      </c>
      <c r="O8" s="27">
        <v>1.5489999999999999</v>
      </c>
      <c r="P8" s="6">
        <v>-6.6299999999999998E-2</v>
      </c>
      <c r="Q8" s="27">
        <v>-0.33900000000000002</v>
      </c>
      <c r="R8" s="27">
        <v>0.29499999999999998</v>
      </c>
      <c r="S8" s="6">
        <v>0.1226</v>
      </c>
      <c r="T8" s="6">
        <v>2.7E-2</v>
      </c>
      <c r="U8" s="32">
        <v>8.0300000000000007E-3</v>
      </c>
      <c r="V8" s="6">
        <v>-6.3E-3</v>
      </c>
      <c r="W8" s="29">
        <v>0</v>
      </c>
      <c r="X8" s="6">
        <v>-3.7000000000000002E-3</v>
      </c>
      <c r="Y8" s="6">
        <v>4.0000000000000001E-3</v>
      </c>
      <c r="Z8" s="9">
        <v>0.17299999999999999</v>
      </c>
      <c r="AA8" s="9">
        <v>0.251</v>
      </c>
      <c r="AB8" s="9">
        <v>1.4490000000000001</v>
      </c>
      <c r="AC8" s="9">
        <v>-0.70099999999999996</v>
      </c>
      <c r="AD8" s="9">
        <v>1</v>
      </c>
      <c r="AE8" s="9">
        <v>-0.33800000000000002</v>
      </c>
      <c r="AF8" s="9">
        <v>-0.26300000000000001</v>
      </c>
      <c r="AG8" s="5">
        <v>1054</v>
      </c>
      <c r="AH8" s="9">
        <v>-1.3460000000000001</v>
      </c>
      <c r="AI8" s="9">
        <v>1.843</v>
      </c>
      <c r="AJ8" s="5">
        <v>1.88</v>
      </c>
      <c r="AK8" s="5">
        <v>1.18</v>
      </c>
      <c r="AL8" s="9">
        <v>0.77700000000000002</v>
      </c>
      <c r="AM8" s="9">
        <v>0.52</v>
      </c>
      <c r="AN8" s="9">
        <v>0.50800000000000001</v>
      </c>
      <c r="AO8" s="9">
        <v>0.377</v>
      </c>
      <c r="AP8" s="9">
        <v>0.3</v>
      </c>
      <c r="AQ8" s="9">
        <v>0.16200000000000001</v>
      </c>
      <c r="AR8" s="9">
        <v>0.93799999999999994</v>
      </c>
      <c r="AV8" s="6"/>
      <c r="AW8" s="34"/>
      <c r="AY8" s="29"/>
      <c r="AZ8" s="6"/>
    </row>
    <row r="9" spans="1:52" ht="15.75" customHeight="1" x14ac:dyDescent="0.45">
      <c r="A9" s="28">
        <v>7.4999999999999997E-2</v>
      </c>
      <c r="B9" s="49">
        <v>-3.2930000000000001</v>
      </c>
      <c r="C9" s="27">
        <v>0.90200000000000002</v>
      </c>
      <c r="D9" s="27">
        <v>0.72599999999999998</v>
      </c>
      <c r="E9" s="27">
        <v>-1.4690000000000001</v>
      </c>
      <c r="F9" s="9">
        <v>-0.59599999999999997</v>
      </c>
      <c r="G9" s="27">
        <v>-2.7450000000000001</v>
      </c>
      <c r="H9" s="27">
        <v>0.22700000000000001</v>
      </c>
      <c r="I9" s="27">
        <v>6.8609999999999998</v>
      </c>
      <c r="J9" s="29">
        <v>0</v>
      </c>
      <c r="K9" s="27">
        <v>-0.26600000000000001</v>
      </c>
      <c r="L9" s="27">
        <v>0.81499999999999995</v>
      </c>
      <c r="M9" s="27">
        <v>1.5349999999999999</v>
      </c>
      <c r="N9" s="27">
        <v>2.4460000000000002</v>
      </c>
      <c r="O9" s="27">
        <v>1.772</v>
      </c>
      <c r="P9" s="6">
        <v>-7.9399999999999998E-2</v>
      </c>
      <c r="Q9" s="27">
        <v>-0.40400000000000003</v>
      </c>
      <c r="R9" s="27">
        <v>0.32200000000000001</v>
      </c>
      <c r="S9" s="6">
        <v>0.11650000000000001</v>
      </c>
      <c r="T9" s="6">
        <v>2.8799999999999999E-2</v>
      </c>
      <c r="U9" s="32">
        <v>8.1099999999999992E-3</v>
      </c>
      <c r="V9" s="6">
        <v>-7.0000000000000001E-3</v>
      </c>
      <c r="W9" s="29">
        <v>0</v>
      </c>
      <c r="X9" s="6">
        <v>-3.7000000000000002E-3</v>
      </c>
      <c r="Y9" s="6">
        <v>3.8999999999999998E-3</v>
      </c>
      <c r="Z9" s="9">
        <v>0.19800000000000001</v>
      </c>
      <c r="AA9" s="9">
        <v>0.26</v>
      </c>
      <c r="AB9" s="9">
        <v>1.4350000000000001</v>
      </c>
      <c r="AC9" s="9">
        <v>-0.69499999999999995</v>
      </c>
      <c r="AD9" s="9">
        <v>1</v>
      </c>
      <c r="AE9" s="9">
        <v>-0.34699999999999998</v>
      </c>
      <c r="AF9" s="9">
        <v>-0.219</v>
      </c>
      <c r="AG9" s="5">
        <v>1086</v>
      </c>
      <c r="AH9" s="9">
        <v>-1.4710000000000001</v>
      </c>
      <c r="AI9" s="9">
        <v>1.845</v>
      </c>
      <c r="AJ9" s="5">
        <v>1.88</v>
      </c>
      <c r="AK9" s="5">
        <v>1.18</v>
      </c>
      <c r="AL9" s="9">
        <v>0.78200000000000003</v>
      </c>
      <c r="AM9" s="9">
        <v>0.53500000000000003</v>
      </c>
      <c r="AN9" s="9">
        <v>0.504</v>
      </c>
      <c r="AO9" s="9">
        <v>0.41799999999999998</v>
      </c>
      <c r="AP9" s="9">
        <v>0.3</v>
      </c>
      <c r="AQ9" s="9">
        <v>0.158</v>
      </c>
      <c r="AR9" s="9">
        <v>0.88700000000000001</v>
      </c>
      <c r="AV9" s="6"/>
      <c r="AW9" s="34"/>
      <c r="AY9" s="29"/>
    </row>
    <row r="10" spans="1:52" ht="15.75" customHeight="1" x14ac:dyDescent="0.45">
      <c r="A10" s="28">
        <v>0.1</v>
      </c>
      <c r="B10" s="49">
        <v>-3.6659999999999999</v>
      </c>
      <c r="C10" s="27">
        <v>0.99299999999999999</v>
      </c>
      <c r="D10" s="27">
        <v>0.69799999999999995</v>
      </c>
      <c r="E10" s="27">
        <v>-1.5720000000000001</v>
      </c>
      <c r="F10" s="9">
        <v>-0.53600000000000003</v>
      </c>
      <c r="G10" s="27">
        <v>-2.633</v>
      </c>
      <c r="H10" s="27">
        <v>0.21</v>
      </c>
      <c r="I10" s="27">
        <v>7.2939999999999996</v>
      </c>
      <c r="J10" s="29">
        <v>0</v>
      </c>
      <c r="K10" s="27">
        <v>-0.22900000000000001</v>
      </c>
      <c r="L10" s="27">
        <v>0.83099999999999996</v>
      </c>
      <c r="M10" s="27">
        <v>1.615</v>
      </c>
      <c r="N10" s="27">
        <v>2.9689999999999999</v>
      </c>
      <c r="O10" s="27">
        <v>1.9159999999999999</v>
      </c>
      <c r="P10" s="6">
        <v>-2.9399999999999999E-2</v>
      </c>
      <c r="Q10" s="27">
        <v>-0.41599999999999998</v>
      </c>
      <c r="R10" s="27">
        <v>0.38400000000000001</v>
      </c>
      <c r="S10" s="6">
        <v>9.98E-2</v>
      </c>
      <c r="T10" s="6">
        <v>3.2500000000000001E-2</v>
      </c>
      <c r="U10" s="32">
        <v>7.4400000000000004E-3</v>
      </c>
      <c r="V10" s="6">
        <v>-7.3000000000000001E-3</v>
      </c>
      <c r="W10" s="29">
        <v>0</v>
      </c>
      <c r="X10" s="6">
        <v>-3.3999999999999998E-3</v>
      </c>
      <c r="Y10" s="6">
        <v>4.1999999999999997E-3</v>
      </c>
      <c r="Z10" s="9">
        <v>0.17399999999999999</v>
      </c>
      <c r="AA10" s="9">
        <v>0.25900000000000001</v>
      </c>
      <c r="AB10" s="9">
        <v>1.4490000000000001</v>
      </c>
      <c r="AC10" s="9">
        <v>-0.70799999999999996</v>
      </c>
      <c r="AD10" s="9">
        <v>1</v>
      </c>
      <c r="AE10" s="9">
        <v>-0.39100000000000001</v>
      </c>
      <c r="AF10" s="9">
        <v>-0.20100000000000001</v>
      </c>
      <c r="AG10" s="5">
        <v>1032</v>
      </c>
      <c r="AH10" s="9">
        <v>-1.6240000000000001</v>
      </c>
      <c r="AI10" s="9">
        <v>1.847</v>
      </c>
      <c r="AJ10" s="5">
        <v>1.88</v>
      </c>
      <c r="AK10" s="5">
        <v>1.18</v>
      </c>
      <c r="AL10" s="9">
        <v>0.76900000000000002</v>
      </c>
      <c r="AM10" s="9">
        <v>0.54300000000000004</v>
      </c>
      <c r="AN10" s="9">
        <v>0.44500000000000001</v>
      </c>
      <c r="AO10" s="9">
        <v>0.42599999999999999</v>
      </c>
      <c r="AP10" s="9">
        <v>0.3</v>
      </c>
      <c r="AQ10" s="9">
        <v>0.17</v>
      </c>
      <c r="AR10" s="9">
        <v>0.87</v>
      </c>
      <c r="AV10" s="6"/>
      <c r="AW10" s="34"/>
      <c r="AY10" s="29"/>
    </row>
    <row r="11" spans="1:52" ht="15.75" customHeight="1" x14ac:dyDescent="0.45">
      <c r="A11" s="28">
        <v>0.15</v>
      </c>
      <c r="B11" s="49">
        <v>-4.8659999999999997</v>
      </c>
      <c r="C11" s="27">
        <v>1.2669999999999999</v>
      </c>
      <c r="D11" s="27">
        <v>0.51</v>
      </c>
      <c r="E11" s="27">
        <v>-1.669</v>
      </c>
      <c r="F11" s="9">
        <v>-0.49</v>
      </c>
      <c r="G11" s="27">
        <v>-2.4580000000000002</v>
      </c>
      <c r="H11" s="27">
        <v>0.183</v>
      </c>
      <c r="I11" s="27">
        <v>8.0310000000000006</v>
      </c>
      <c r="J11" s="29">
        <v>0</v>
      </c>
      <c r="K11" s="27">
        <v>-0.21099999999999999</v>
      </c>
      <c r="L11" s="27">
        <v>0.749</v>
      </c>
      <c r="M11" s="27">
        <v>1.877</v>
      </c>
      <c r="N11" s="27">
        <v>3.544</v>
      </c>
      <c r="O11" s="27">
        <v>2.161</v>
      </c>
      <c r="P11" s="6">
        <v>6.4199999999999993E-2</v>
      </c>
      <c r="Q11" s="27">
        <v>-0.40699999999999997</v>
      </c>
      <c r="R11" s="27">
        <v>0.41699999999999998</v>
      </c>
      <c r="S11" s="6">
        <v>7.5999999999999998E-2</v>
      </c>
      <c r="T11" s="6">
        <v>3.8800000000000001E-2</v>
      </c>
      <c r="U11" s="32">
        <v>7.1599999999999997E-3</v>
      </c>
      <c r="V11" s="6">
        <v>-6.8999999999999999E-3</v>
      </c>
      <c r="W11" s="29">
        <v>0</v>
      </c>
      <c r="X11" s="6">
        <v>-3.0000000000000001E-3</v>
      </c>
      <c r="Y11" s="6">
        <v>4.1999999999999997E-3</v>
      </c>
      <c r="Z11" s="9">
        <v>0.19800000000000001</v>
      </c>
      <c r="AA11" s="9">
        <v>0.254</v>
      </c>
      <c r="AB11" s="9">
        <v>1.4610000000000001</v>
      </c>
      <c r="AC11" s="9">
        <v>-0.71499999999999997</v>
      </c>
      <c r="AD11" s="9">
        <v>1</v>
      </c>
      <c r="AE11" s="9">
        <v>-0.44900000000000001</v>
      </c>
      <c r="AF11" s="9">
        <v>-9.9000000000000005E-2</v>
      </c>
      <c r="AG11" s="5">
        <v>878</v>
      </c>
      <c r="AH11" s="9">
        <v>-1.931</v>
      </c>
      <c r="AI11" s="9">
        <v>1.8520000000000001</v>
      </c>
      <c r="AJ11" s="5">
        <v>1.88</v>
      </c>
      <c r="AK11" s="5">
        <v>1.18</v>
      </c>
      <c r="AL11" s="9">
        <v>0.76900000000000002</v>
      </c>
      <c r="AM11" s="9">
        <v>0.54300000000000004</v>
      </c>
      <c r="AN11" s="9">
        <v>0.38200000000000001</v>
      </c>
      <c r="AO11" s="9">
        <v>0.38700000000000001</v>
      </c>
      <c r="AP11" s="9">
        <v>0.3</v>
      </c>
      <c r="AQ11" s="9">
        <v>0.18</v>
      </c>
      <c r="AR11" s="9">
        <v>0.876</v>
      </c>
      <c r="AV11" s="6"/>
      <c r="AW11" s="34"/>
      <c r="AY11" s="29"/>
    </row>
    <row r="12" spans="1:52" ht="15.75" customHeight="1" x14ac:dyDescent="0.45">
      <c r="A12" s="28">
        <v>0.2</v>
      </c>
      <c r="B12" s="49">
        <v>-5.4109999999999996</v>
      </c>
      <c r="C12" s="27">
        <v>1.3660000000000001</v>
      </c>
      <c r="D12" s="27">
        <v>0.44700000000000001</v>
      </c>
      <c r="E12" s="27">
        <v>-1.75</v>
      </c>
      <c r="F12" s="9">
        <v>-0.45100000000000001</v>
      </c>
      <c r="G12" s="27">
        <v>-2.4209999999999998</v>
      </c>
      <c r="H12" s="27">
        <v>0.182</v>
      </c>
      <c r="I12" s="27">
        <v>8.3849999999999998</v>
      </c>
      <c r="J12" s="29">
        <v>0</v>
      </c>
      <c r="K12" s="27">
        <v>-0.16300000000000001</v>
      </c>
      <c r="L12" s="27">
        <v>0.76400000000000001</v>
      </c>
      <c r="M12" s="27">
        <v>2.069</v>
      </c>
      <c r="N12" s="27">
        <v>3.7069999999999999</v>
      </c>
      <c r="O12" s="27">
        <v>2.4649999999999999</v>
      </c>
      <c r="P12" s="6">
        <v>9.6799999999999997E-2</v>
      </c>
      <c r="Q12" s="27">
        <v>-0.311</v>
      </c>
      <c r="R12" s="27">
        <v>0.40400000000000003</v>
      </c>
      <c r="S12" s="6">
        <v>5.7099999999999998E-2</v>
      </c>
      <c r="T12" s="6">
        <v>4.3700000000000003E-2</v>
      </c>
      <c r="U12" s="32">
        <v>6.8799999999999998E-3</v>
      </c>
      <c r="V12" s="6">
        <v>-6.0000000000000001E-3</v>
      </c>
      <c r="W12" s="29">
        <v>0</v>
      </c>
      <c r="X12" s="6">
        <v>-3.0999999999999999E-3</v>
      </c>
      <c r="Y12" s="6">
        <v>4.1000000000000003E-3</v>
      </c>
      <c r="Z12" s="9">
        <v>0.20399999999999999</v>
      </c>
      <c r="AA12" s="9">
        <v>0.23699999999999999</v>
      </c>
      <c r="AB12" s="9">
        <v>1.484</v>
      </c>
      <c r="AC12" s="9">
        <v>-0.72099999999999997</v>
      </c>
      <c r="AD12" s="9">
        <v>1</v>
      </c>
      <c r="AE12" s="9">
        <v>-0.39300000000000002</v>
      </c>
      <c r="AF12" s="9">
        <v>-0.19800000000000001</v>
      </c>
      <c r="AG12" s="5">
        <v>748</v>
      </c>
      <c r="AH12" s="9">
        <v>-2.1880000000000002</v>
      </c>
      <c r="AI12" s="9">
        <v>1.8560000000000001</v>
      </c>
      <c r="AJ12" s="5">
        <v>1.88</v>
      </c>
      <c r="AK12" s="5">
        <v>1.18</v>
      </c>
      <c r="AL12" s="9">
        <v>0.76100000000000001</v>
      </c>
      <c r="AM12" s="9">
        <v>0.55200000000000005</v>
      </c>
      <c r="AN12" s="9">
        <v>0.33900000000000002</v>
      </c>
      <c r="AO12" s="9">
        <v>0.33800000000000002</v>
      </c>
      <c r="AP12" s="9">
        <v>0.3</v>
      </c>
      <c r="AQ12" s="9">
        <v>0.186</v>
      </c>
      <c r="AR12" s="9">
        <v>0.87</v>
      </c>
      <c r="AS12" s="33"/>
      <c r="AT12" s="33"/>
      <c r="AU12" s="33"/>
      <c r="AV12" s="6"/>
      <c r="AW12" s="34"/>
      <c r="AY12" s="29"/>
    </row>
    <row r="13" spans="1:52" ht="15.75" customHeight="1" x14ac:dyDescent="0.45">
      <c r="A13" s="28">
        <v>0.25</v>
      </c>
      <c r="B13" s="49">
        <v>-5.9619999999999997</v>
      </c>
      <c r="C13" s="27">
        <v>1.458</v>
      </c>
      <c r="D13" s="27">
        <v>0.27400000000000002</v>
      </c>
      <c r="E13" s="27">
        <v>-1.7110000000000001</v>
      </c>
      <c r="F13" s="27">
        <v>-0.40400000000000003</v>
      </c>
      <c r="G13" s="27">
        <v>-2.3919999999999999</v>
      </c>
      <c r="H13" s="27">
        <v>0.189</v>
      </c>
      <c r="I13" s="27">
        <v>7.5339999999999998</v>
      </c>
      <c r="J13" s="29">
        <v>0</v>
      </c>
      <c r="K13" s="27">
        <v>-0.15</v>
      </c>
      <c r="L13" s="27">
        <v>0.71599999999999997</v>
      </c>
      <c r="M13" s="27">
        <v>2.2050000000000001</v>
      </c>
      <c r="N13" s="27">
        <v>3.343</v>
      </c>
      <c r="O13" s="27">
        <v>2.766</v>
      </c>
      <c r="P13" s="6">
        <v>0.14410000000000001</v>
      </c>
      <c r="Q13" s="27">
        <v>-0.17199999999999999</v>
      </c>
      <c r="R13" s="27">
        <v>0.46600000000000003</v>
      </c>
      <c r="S13" s="6">
        <v>4.3700000000000003E-2</v>
      </c>
      <c r="T13" s="6">
        <v>4.6300000000000001E-2</v>
      </c>
      <c r="U13" s="32">
        <v>5.5599999999999998E-3</v>
      </c>
      <c r="V13" s="6">
        <v>-5.4999999999999997E-3</v>
      </c>
      <c r="W13" s="29">
        <v>0</v>
      </c>
      <c r="X13" s="6">
        <v>-3.3E-3</v>
      </c>
      <c r="Y13" s="6">
        <v>3.5999999999999999E-3</v>
      </c>
      <c r="Z13" s="9">
        <v>0.185</v>
      </c>
      <c r="AA13" s="9">
        <v>0.20599999999999999</v>
      </c>
      <c r="AB13" s="9">
        <v>1.581</v>
      </c>
      <c r="AC13" s="9">
        <v>-0.78700000000000003</v>
      </c>
      <c r="AD13" s="9">
        <v>1</v>
      </c>
      <c r="AE13" s="9">
        <v>-0.33900000000000002</v>
      </c>
      <c r="AF13" s="9">
        <v>-0.21</v>
      </c>
      <c r="AG13" s="5">
        <v>654</v>
      </c>
      <c r="AH13" s="9">
        <v>-2.3809999999999998</v>
      </c>
      <c r="AI13" s="9">
        <v>1.861</v>
      </c>
      <c r="AJ13" s="5">
        <v>1.88</v>
      </c>
      <c r="AK13" s="5">
        <v>1.18</v>
      </c>
      <c r="AL13" s="9">
        <v>0.74399999999999999</v>
      </c>
      <c r="AM13" s="9">
        <v>0.54500000000000004</v>
      </c>
      <c r="AN13" s="9">
        <v>0.34</v>
      </c>
      <c r="AO13" s="9">
        <v>0.316</v>
      </c>
      <c r="AP13" s="9">
        <v>0.3</v>
      </c>
      <c r="AQ13" s="9">
        <v>0.191</v>
      </c>
      <c r="AR13" s="9">
        <v>0.85</v>
      </c>
      <c r="AV13" s="29"/>
      <c r="AW13" s="7"/>
      <c r="AY13" s="29"/>
    </row>
    <row r="14" spans="1:52" ht="15.75" customHeight="1" x14ac:dyDescent="0.45">
      <c r="A14" s="28">
        <v>0.3</v>
      </c>
      <c r="B14" s="49">
        <v>-6.4029999999999996</v>
      </c>
      <c r="C14" s="27">
        <v>1.528</v>
      </c>
      <c r="D14" s="27">
        <v>0.193</v>
      </c>
      <c r="E14" s="27">
        <v>-1.77</v>
      </c>
      <c r="F14" s="27">
        <v>-0.32100000000000001</v>
      </c>
      <c r="G14" s="27">
        <v>-2.3759999999999999</v>
      </c>
      <c r="H14" s="27">
        <v>0.19500000000000001</v>
      </c>
      <c r="I14" s="27">
        <v>6.99</v>
      </c>
      <c r="J14" s="29">
        <v>0</v>
      </c>
      <c r="K14" s="27">
        <v>-0.13100000000000001</v>
      </c>
      <c r="L14" s="27">
        <v>0.73699999999999999</v>
      </c>
      <c r="M14" s="27">
        <v>2.306</v>
      </c>
      <c r="N14" s="27">
        <v>3.3340000000000001</v>
      </c>
      <c r="O14" s="27">
        <v>3.0110000000000001</v>
      </c>
      <c r="P14" s="6">
        <v>0.15970000000000001</v>
      </c>
      <c r="Q14" s="27">
        <v>-8.4000000000000005E-2</v>
      </c>
      <c r="R14" s="27">
        <v>0.52800000000000002</v>
      </c>
      <c r="S14" s="6">
        <v>3.2300000000000002E-2</v>
      </c>
      <c r="T14" s="6">
        <v>5.0799999999999998E-2</v>
      </c>
      <c r="U14" s="32">
        <v>4.5799999999999999E-3</v>
      </c>
      <c r="V14" s="6">
        <v>-4.8999999999999998E-3</v>
      </c>
      <c r="W14" s="29">
        <v>0</v>
      </c>
      <c r="X14" s="6">
        <v>-3.5000000000000001E-3</v>
      </c>
      <c r="Y14" s="6">
        <v>3.0999999999999999E-3</v>
      </c>
      <c r="Z14" s="9">
        <v>0.16400000000000001</v>
      </c>
      <c r="AA14" s="9">
        <v>0.21</v>
      </c>
      <c r="AB14" s="9">
        <v>1.5860000000000001</v>
      </c>
      <c r="AC14" s="9">
        <v>-0.79500000000000004</v>
      </c>
      <c r="AD14" s="9">
        <v>1</v>
      </c>
      <c r="AE14" s="9">
        <v>-0.44700000000000001</v>
      </c>
      <c r="AF14" s="9">
        <v>-0.121</v>
      </c>
      <c r="AG14" s="5">
        <v>587</v>
      </c>
      <c r="AH14" s="9">
        <v>-2.5179999999999998</v>
      </c>
      <c r="AI14" s="9">
        <v>1.865</v>
      </c>
      <c r="AJ14" s="5">
        <v>1.88</v>
      </c>
      <c r="AK14" s="5">
        <v>1.18</v>
      </c>
      <c r="AL14" s="9">
        <v>0.72699999999999998</v>
      </c>
      <c r="AM14" s="9">
        <v>0.56799999999999995</v>
      </c>
      <c r="AN14" s="9">
        <v>0.34</v>
      </c>
      <c r="AO14" s="9">
        <v>0.3</v>
      </c>
      <c r="AP14" s="9">
        <v>0.3</v>
      </c>
      <c r="AQ14" s="9">
        <v>0.19800000000000001</v>
      </c>
      <c r="AR14" s="9">
        <v>0.81899999999999995</v>
      </c>
      <c r="AV14" s="29"/>
      <c r="AW14" s="7"/>
      <c r="AY14" s="29"/>
      <c r="AZ14" s="6"/>
    </row>
    <row r="15" spans="1:52" ht="15.75" customHeight="1" x14ac:dyDescent="0.45">
      <c r="A15" s="28">
        <v>0.4</v>
      </c>
      <c r="B15" s="49">
        <v>-7.5659999999999998</v>
      </c>
      <c r="C15" s="27">
        <v>1.7390000000000001</v>
      </c>
      <c r="D15" s="27">
        <v>-0.02</v>
      </c>
      <c r="E15" s="27">
        <v>-1.5940000000000001</v>
      </c>
      <c r="F15" s="27">
        <v>-0.42599999999999999</v>
      </c>
      <c r="G15" s="27">
        <v>-2.3029999999999999</v>
      </c>
      <c r="H15" s="27">
        <v>0.185</v>
      </c>
      <c r="I15" s="27">
        <v>7.0119999999999996</v>
      </c>
      <c r="J15" s="29">
        <v>0</v>
      </c>
      <c r="K15" s="27">
        <v>-0.159</v>
      </c>
      <c r="L15" s="27">
        <v>0.73799999999999999</v>
      </c>
      <c r="M15" s="27">
        <v>2.3980000000000001</v>
      </c>
      <c r="N15" s="27">
        <v>3.544</v>
      </c>
      <c r="O15" s="27">
        <v>3.2029999999999998</v>
      </c>
      <c r="P15" s="6">
        <v>0.14099999999999999</v>
      </c>
      <c r="Q15" s="27">
        <v>8.5000000000000006E-2</v>
      </c>
      <c r="R15" s="27">
        <v>0.54</v>
      </c>
      <c r="S15" s="6">
        <v>2.0899999999999998E-2</v>
      </c>
      <c r="T15" s="6">
        <v>4.3200000000000002E-2</v>
      </c>
      <c r="U15" s="32">
        <v>4.0099999999999997E-3</v>
      </c>
      <c r="V15" s="6">
        <v>-3.7000000000000002E-3</v>
      </c>
      <c r="W15" s="29">
        <v>0</v>
      </c>
      <c r="X15" s="6">
        <v>-3.3999999999999998E-3</v>
      </c>
      <c r="Y15" s="6">
        <v>2.8E-3</v>
      </c>
      <c r="Z15" s="9">
        <v>0.16</v>
      </c>
      <c r="AA15" s="9">
        <v>0.22600000000000001</v>
      </c>
      <c r="AB15" s="9">
        <v>1.544</v>
      </c>
      <c r="AC15" s="9">
        <v>-0.77</v>
      </c>
      <c r="AD15" s="9">
        <v>1</v>
      </c>
      <c r="AE15" s="9">
        <v>-0.52500000000000002</v>
      </c>
      <c r="AF15" s="9">
        <v>-8.5999999999999993E-2</v>
      </c>
      <c r="AG15" s="5">
        <v>503</v>
      </c>
      <c r="AH15" s="9">
        <v>-2.657</v>
      </c>
      <c r="AI15" s="9">
        <v>1.8740000000000001</v>
      </c>
      <c r="AJ15" s="5">
        <v>1.88</v>
      </c>
      <c r="AK15" s="5">
        <v>1.18</v>
      </c>
      <c r="AL15" s="9">
        <v>0.69</v>
      </c>
      <c r="AM15" s="9">
        <v>0.59299999999999997</v>
      </c>
      <c r="AN15" s="9">
        <v>0.35599999999999998</v>
      </c>
      <c r="AO15" s="9">
        <v>0.26400000000000001</v>
      </c>
      <c r="AP15" s="9">
        <v>0.3</v>
      </c>
      <c r="AQ15" s="9">
        <v>0.20599999999999999</v>
      </c>
      <c r="AR15" s="9">
        <v>0.74299999999999999</v>
      </c>
      <c r="AV15" s="29"/>
      <c r="AW15" s="7"/>
      <c r="AY15" s="29"/>
    </row>
    <row r="16" spans="1:52" ht="15.75" customHeight="1" x14ac:dyDescent="0.45">
      <c r="A16" s="28">
        <v>0.5</v>
      </c>
      <c r="B16" s="49">
        <v>-8.3789999999999996</v>
      </c>
      <c r="C16" s="27">
        <v>1.8720000000000001</v>
      </c>
      <c r="D16" s="27">
        <v>-0.121</v>
      </c>
      <c r="E16" s="27">
        <v>-1.577</v>
      </c>
      <c r="F16" s="27">
        <v>-0.44</v>
      </c>
      <c r="G16" s="27">
        <v>-2.2959999999999998</v>
      </c>
      <c r="H16" s="27">
        <v>0.186</v>
      </c>
      <c r="I16" s="27">
        <v>6.9020000000000001</v>
      </c>
      <c r="J16" s="29">
        <v>0</v>
      </c>
      <c r="K16" s="27">
        <v>-0.153</v>
      </c>
      <c r="L16" s="27">
        <v>0.71799999999999997</v>
      </c>
      <c r="M16" s="27">
        <v>2.355</v>
      </c>
      <c r="N16" s="27">
        <v>3.016</v>
      </c>
      <c r="O16" s="27">
        <v>3.3330000000000002</v>
      </c>
      <c r="P16" s="6">
        <v>0.1474</v>
      </c>
      <c r="Q16" s="27">
        <v>0.23300000000000001</v>
      </c>
      <c r="R16" s="27">
        <v>0.63800000000000001</v>
      </c>
      <c r="S16" s="6">
        <v>9.1999999999999998E-3</v>
      </c>
      <c r="T16" s="6">
        <v>4.0500000000000001E-2</v>
      </c>
      <c r="U16" s="32">
        <v>3.8800000000000002E-3</v>
      </c>
      <c r="V16" s="6">
        <v>-2.7000000000000001E-3</v>
      </c>
      <c r="W16" s="29">
        <v>0</v>
      </c>
      <c r="X16" s="6">
        <v>-3.3999999999999998E-3</v>
      </c>
      <c r="Y16" s="6">
        <v>2.5000000000000001E-3</v>
      </c>
      <c r="Z16" s="9">
        <v>0.184</v>
      </c>
      <c r="AA16" s="9">
        <v>0.217</v>
      </c>
      <c r="AB16" s="9">
        <v>1.554</v>
      </c>
      <c r="AC16" s="9">
        <v>-0.77</v>
      </c>
      <c r="AD16" s="9">
        <v>1</v>
      </c>
      <c r="AE16" s="9">
        <v>-0.40699999999999997</v>
      </c>
      <c r="AF16" s="9">
        <v>-0.28100000000000003</v>
      </c>
      <c r="AG16" s="5">
        <v>457</v>
      </c>
      <c r="AH16" s="9">
        <v>-2.669</v>
      </c>
      <c r="AI16" s="9">
        <v>1.883</v>
      </c>
      <c r="AJ16" s="5">
        <v>1.88</v>
      </c>
      <c r="AK16" s="5">
        <v>1.18</v>
      </c>
      <c r="AL16" s="9">
        <v>0.66300000000000003</v>
      </c>
      <c r="AM16" s="9">
        <v>0.61099999999999999</v>
      </c>
      <c r="AN16" s="9">
        <v>0.379</v>
      </c>
      <c r="AO16" s="9">
        <v>0.26300000000000001</v>
      </c>
      <c r="AP16" s="9">
        <v>0.3</v>
      </c>
      <c r="AQ16" s="9">
        <v>0.20799999999999999</v>
      </c>
      <c r="AR16" s="9">
        <v>0.68400000000000005</v>
      </c>
      <c r="AV16" s="29"/>
      <c r="AW16" s="7"/>
      <c r="AY16" s="29"/>
    </row>
    <row r="17" spans="1:52" ht="15.75" customHeight="1" x14ac:dyDescent="0.45">
      <c r="A17" s="28">
        <v>0.75</v>
      </c>
      <c r="B17" s="49">
        <v>-9.8409999999999993</v>
      </c>
      <c r="C17" s="27">
        <v>2.0209999999999999</v>
      </c>
      <c r="D17" s="27">
        <v>-4.2000000000000003E-2</v>
      </c>
      <c r="E17" s="27">
        <v>-1.7569999999999999</v>
      </c>
      <c r="F17" s="27">
        <v>-0.443</v>
      </c>
      <c r="G17" s="27">
        <v>-2.2320000000000002</v>
      </c>
      <c r="H17" s="27">
        <v>0.186</v>
      </c>
      <c r="I17" s="27">
        <v>5.5220000000000002</v>
      </c>
      <c r="J17" s="29">
        <v>0</v>
      </c>
      <c r="K17" s="27">
        <v>-0.09</v>
      </c>
      <c r="L17" s="27">
        <v>0.79500000000000004</v>
      </c>
      <c r="M17" s="27">
        <v>1.9950000000000001</v>
      </c>
      <c r="N17" s="27">
        <v>2.6160000000000001</v>
      </c>
      <c r="O17" s="27">
        <v>3.0539999999999998</v>
      </c>
      <c r="P17" s="6">
        <v>0.1764</v>
      </c>
      <c r="Q17" s="27">
        <v>0.41099999999999998</v>
      </c>
      <c r="R17" s="27">
        <v>0.77600000000000002</v>
      </c>
      <c r="S17" s="6">
        <v>-8.2000000000000007E-3</v>
      </c>
      <c r="T17" s="6">
        <v>4.2000000000000003E-2</v>
      </c>
      <c r="U17" s="32">
        <v>4.1999999999999997E-3</v>
      </c>
      <c r="V17" s="6">
        <v>-1.6000000000000001E-3</v>
      </c>
      <c r="W17" s="29">
        <v>0</v>
      </c>
      <c r="X17" s="6">
        <v>-3.2000000000000002E-3</v>
      </c>
      <c r="Y17" s="6">
        <v>1.6000000000000001E-3</v>
      </c>
      <c r="Z17" s="9">
        <v>0.216</v>
      </c>
      <c r="AA17" s="9">
        <v>0.154</v>
      </c>
      <c r="AB17" s="9">
        <v>1.6259999999999999</v>
      </c>
      <c r="AC17" s="9">
        <v>-0.78</v>
      </c>
      <c r="AD17" s="9">
        <v>1</v>
      </c>
      <c r="AE17" s="9">
        <v>-0.371</v>
      </c>
      <c r="AF17" s="9">
        <v>-0.28499999999999998</v>
      </c>
      <c r="AG17" s="5">
        <v>410</v>
      </c>
      <c r="AH17" s="9">
        <v>-2.4009999999999998</v>
      </c>
      <c r="AI17" s="9">
        <v>1.9059999999999999</v>
      </c>
      <c r="AJ17" s="5">
        <v>1.88</v>
      </c>
      <c r="AK17" s="5">
        <v>1.18</v>
      </c>
      <c r="AL17" s="9">
        <v>0.60599999999999998</v>
      </c>
      <c r="AM17" s="9">
        <v>0.63300000000000001</v>
      </c>
      <c r="AN17" s="9">
        <v>0.43</v>
      </c>
      <c r="AO17" s="9">
        <v>0.32600000000000001</v>
      </c>
      <c r="AP17" s="9">
        <v>0.3</v>
      </c>
      <c r="AQ17" s="9">
        <v>0.221</v>
      </c>
      <c r="AR17" s="9">
        <v>0.56200000000000006</v>
      </c>
      <c r="AV17" s="29"/>
      <c r="AW17" s="7"/>
      <c r="AY17" s="29"/>
    </row>
    <row r="18" spans="1:52" ht="15.75" customHeight="1" x14ac:dyDescent="0.45">
      <c r="A18" s="3">
        <v>1</v>
      </c>
      <c r="B18" s="49">
        <v>-11.010999999999999</v>
      </c>
      <c r="C18" s="27">
        <v>2.1800000000000002</v>
      </c>
      <c r="D18" s="27">
        <v>-6.9000000000000006E-2</v>
      </c>
      <c r="E18" s="27">
        <v>-1.7070000000000001</v>
      </c>
      <c r="F18" s="27">
        <v>-0.52700000000000002</v>
      </c>
      <c r="G18" s="27">
        <v>-2.1579999999999999</v>
      </c>
      <c r="H18" s="27">
        <v>0.16900000000000001</v>
      </c>
      <c r="I18" s="27">
        <v>5.65</v>
      </c>
      <c r="J18" s="29">
        <v>0</v>
      </c>
      <c r="K18" s="27">
        <v>-0.105</v>
      </c>
      <c r="L18" s="27">
        <v>0.55600000000000005</v>
      </c>
      <c r="M18" s="27">
        <v>1.4470000000000001</v>
      </c>
      <c r="N18" s="27">
        <v>2.4700000000000002</v>
      </c>
      <c r="O18" s="27">
        <v>2.5619999999999998</v>
      </c>
      <c r="P18" s="6">
        <v>0.25929999999999997</v>
      </c>
      <c r="Q18" s="27">
        <v>0.47899999999999998</v>
      </c>
      <c r="R18" s="27">
        <v>0.77100000000000002</v>
      </c>
      <c r="S18" s="6">
        <v>-1.3100000000000001E-2</v>
      </c>
      <c r="T18" s="6">
        <v>4.2599999999999999E-2</v>
      </c>
      <c r="U18" s="32">
        <v>4.0899999999999999E-3</v>
      </c>
      <c r="V18" s="6">
        <v>-5.9999999999999995E-4</v>
      </c>
      <c r="W18" s="29">
        <v>0</v>
      </c>
      <c r="X18" s="6">
        <v>-3.0000000000000001E-3</v>
      </c>
      <c r="Y18" s="6">
        <v>5.9999999999999995E-4</v>
      </c>
      <c r="Z18" s="9">
        <v>0.59599999999999997</v>
      </c>
      <c r="AA18" s="9">
        <v>0.11700000000000001</v>
      </c>
      <c r="AB18" s="9">
        <v>1.6160000000000001</v>
      </c>
      <c r="AC18" s="9">
        <v>-0.73299999999999998</v>
      </c>
      <c r="AD18" s="9">
        <v>1</v>
      </c>
      <c r="AE18" s="9">
        <v>-0.128</v>
      </c>
      <c r="AF18" s="9">
        <v>-0.75600000000000001</v>
      </c>
      <c r="AG18" s="5">
        <v>400</v>
      </c>
      <c r="AH18" s="9">
        <v>-1.9550000000000001</v>
      </c>
      <c r="AI18" s="9">
        <v>1.929</v>
      </c>
      <c r="AJ18" s="5">
        <v>1.88</v>
      </c>
      <c r="AK18" s="5">
        <v>1.18</v>
      </c>
      <c r="AL18" s="9">
        <v>0.57899999999999996</v>
      </c>
      <c r="AM18" s="9">
        <v>0.628</v>
      </c>
      <c r="AN18" s="9">
        <v>0.47</v>
      </c>
      <c r="AO18" s="9">
        <v>0.35299999999999998</v>
      </c>
      <c r="AP18" s="9">
        <v>0.3</v>
      </c>
      <c r="AQ18" s="9">
        <v>0.22500000000000001</v>
      </c>
      <c r="AR18" s="9">
        <v>0.46700000000000003</v>
      </c>
      <c r="AS18" s="33"/>
      <c r="AT18" s="33"/>
      <c r="AU18" s="33"/>
      <c r="AV18" s="29"/>
      <c r="AW18" s="6"/>
      <c r="AY18" s="29"/>
    </row>
    <row r="19" spans="1:52" ht="15.75" customHeight="1" x14ac:dyDescent="0.45">
      <c r="A19" s="28">
        <v>1.5</v>
      </c>
      <c r="B19" s="49">
        <v>-12.468999999999999</v>
      </c>
      <c r="C19" s="27">
        <v>2.27</v>
      </c>
      <c r="D19" s="27">
        <v>4.7E-2</v>
      </c>
      <c r="E19" s="27">
        <v>-1.621</v>
      </c>
      <c r="F19" s="27">
        <v>-0.63</v>
      </c>
      <c r="G19" s="27">
        <v>-2.0630000000000002</v>
      </c>
      <c r="H19" s="27">
        <v>0.158</v>
      </c>
      <c r="I19" s="27">
        <v>5.7949999999999999</v>
      </c>
      <c r="J19" s="29">
        <v>0</v>
      </c>
      <c r="K19" s="27">
        <v>-5.8000000000000003E-2</v>
      </c>
      <c r="L19" s="27">
        <v>0.48</v>
      </c>
      <c r="M19" s="27">
        <v>0.33</v>
      </c>
      <c r="N19" s="27">
        <v>2.1080000000000001</v>
      </c>
      <c r="O19" s="27">
        <v>1.4530000000000001</v>
      </c>
      <c r="P19" s="6">
        <v>0.28810000000000002</v>
      </c>
      <c r="Q19" s="27">
        <v>0.56599999999999995</v>
      </c>
      <c r="R19" s="27">
        <v>0.748</v>
      </c>
      <c r="S19" s="6">
        <v>-1.8700000000000001E-2</v>
      </c>
      <c r="T19" s="6">
        <v>3.7999999999999999E-2</v>
      </c>
      <c r="U19" s="32">
        <v>4.2399999999999998E-3</v>
      </c>
      <c r="V19" s="29">
        <v>0</v>
      </c>
      <c r="W19" s="29">
        <v>0</v>
      </c>
      <c r="X19" s="6">
        <v>-1.9E-3</v>
      </c>
      <c r="Y19" s="29">
        <v>0</v>
      </c>
      <c r="Z19" s="9">
        <v>0.59599999999999997</v>
      </c>
      <c r="AA19" s="9">
        <v>0.11700000000000001</v>
      </c>
      <c r="AB19" s="9">
        <v>1.6160000000000001</v>
      </c>
      <c r="AC19" s="9">
        <v>-0.73299999999999998</v>
      </c>
      <c r="AD19" s="9">
        <v>1</v>
      </c>
      <c r="AE19" s="9">
        <v>-0.128</v>
      </c>
      <c r="AF19" s="9">
        <v>-0.75600000000000001</v>
      </c>
      <c r="AG19" s="5">
        <v>400</v>
      </c>
      <c r="AH19" s="9">
        <v>-1.0249999999999999</v>
      </c>
      <c r="AI19" s="9">
        <v>1.974</v>
      </c>
      <c r="AJ19" s="5">
        <v>1.88</v>
      </c>
      <c r="AK19" s="5">
        <v>1.18</v>
      </c>
      <c r="AL19" s="9">
        <v>0.54100000000000004</v>
      </c>
      <c r="AM19" s="9">
        <v>0.60299999999999998</v>
      </c>
      <c r="AN19" s="9">
        <v>0.497</v>
      </c>
      <c r="AO19" s="9">
        <v>0.39900000000000002</v>
      </c>
      <c r="AP19" s="9">
        <v>0.3</v>
      </c>
      <c r="AQ19" s="9">
        <v>0.222</v>
      </c>
      <c r="AR19" s="9">
        <v>0.36399999999999999</v>
      </c>
      <c r="AV19" s="29"/>
      <c r="AW19" s="6"/>
      <c r="AY19" s="29"/>
    </row>
    <row r="20" spans="1:52" ht="15.75" customHeight="1" x14ac:dyDescent="0.45">
      <c r="A20" s="28">
        <v>2</v>
      </c>
      <c r="B20" s="49">
        <v>-12.968999999999999</v>
      </c>
      <c r="C20" s="27">
        <v>2.2709999999999999</v>
      </c>
      <c r="D20" s="27">
        <v>0.14899999999999999</v>
      </c>
      <c r="E20" s="27">
        <v>-1.512</v>
      </c>
      <c r="F20" s="27">
        <v>-0.76800000000000002</v>
      </c>
      <c r="G20" s="27">
        <v>-2.1040000000000001</v>
      </c>
      <c r="H20" s="27">
        <v>0.158</v>
      </c>
      <c r="I20" s="27">
        <v>6.6319999999999997</v>
      </c>
      <c r="J20" s="29">
        <v>0</v>
      </c>
      <c r="K20" s="27">
        <v>-2.8000000000000001E-2</v>
      </c>
      <c r="L20" s="27">
        <v>0.40100000000000002</v>
      </c>
      <c r="M20" s="27">
        <v>-0.51400000000000001</v>
      </c>
      <c r="N20" s="27">
        <v>1.327</v>
      </c>
      <c r="O20" s="27">
        <v>0.65700000000000003</v>
      </c>
      <c r="P20" s="6">
        <v>0.31119999999999998</v>
      </c>
      <c r="Q20" s="27">
        <v>0.56200000000000006</v>
      </c>
      <c r="R20" s="27">
        <v>0.76300000000000001</v>
      </c>
      <c r="S20" s="6">
        <v>-2.58E-2</v>
      </c>
      <c r="T20" s="6">
        <v>2.52E-2</v>
      </c>
      <c r="U20" s="32">
        <v>4.4799999999999996E-3</v>
      </c>
      <c r="V20" s="29">
        <v>0</v>
      </c>
      <c r="W20" s="29">
        <v>0</v>
      </c>
      <c r="X20" s="6">
        <v>-5.0000000000000001E-4</v>
      </c>
      <c r="Y20" s="29">
        <v>0</v>
      </c>
      <c r="Z20" s="9">
        <v>0.59599999999999997</v>
      </c>
      <c r="AA20" s="9">
        <v>0.11700000000000001</v>
      </c>
      <c r="AB20" s="9">
        <v>1.6160000000000001</v>
      </c>
      <c r="AC20" s="9">
        <v>-0.73299999999999998</v>
      </c>
      <c r="AD20" s="9">
        <v>1</v>
      </c>
      <c r="AE20" s="9">
        <v>-0.128</v>
      </c>
      <c r="AF20" s="9">
        <v>-0.75600000000000001</v>
      </c>
      <c r="AG20" s="5">
        <v>400</v>
      </c>
      <c r="AH20" s="9">
        <v>-0.29899999999999999</v>
      </c>
      <c r="AI20" s="9">
        <v>2.0190000000000001</v>
      </c>
      <c r="AJ20" s="5">
        <v>1.88</v>
      </c>
      <c r="AK20" s="5">
        <v>1.18</v>
      </c>
      <c r="AL20" s="9">
        <v>0.52900000000000003</v>
      </c>
      <c r="AM20" s="9">
        <v>0.58799999999999997</v>
      </c>
      <c r="AN20" s="9">
        <v>0.499</v>
      </c>
      <c r="AO20" s="9">
        <v>0.4</v>
      </c>
      <c r="AP20" s="9">
        <v>0.3</v>
      </c>
      <c r="AQ20" s="9">
        <v>0.22600000000000001</v>
      </c>
      <c r="AR20" s="9">
        <v>0.29799999999999999</v>
      </c>
      <c r="AV20" s="29"/>
      <c r="AW20" s="6"/>
      <c r="AY20" s="29"/>
    </row>
    <row r="21" spans="1:52" ht="15.75" customHeight="1" x14ac:dyDescent="0.45">
      <c r="A21" s="28">
        <v>3</v>
      </c>
      <c r="B21" s="49">
        <v>-13.305999999999999</v>
      </c>
      <c r="C21" s="27">
        <v>2.15</v>
      </c>
      <c r="D21" s="27">
        <v>0.36799999999999999</v>
      </c>
      <c r="E21" s="27">
        <v>-1.3149999999999999</v>
      </c>
      <c r="F21" s="27">
        <v>-0.89</v>
      </c>
      <c r="G21" s="27">
        <v>-2.0510000000000002</v>
      </c>
      <c r="H21" s="27">
        <v>0.14799999999999999</v>
      </c>
      <c r="I21" s="27">
        <v>6.7590000000000003</v>
      </c>
      <c r="J21" s="29">
        <v>0</v>
      </c>
      <c r="K21" s="29">
        <v>0</v>
      </c>
      <c r="L21" s="27">
        <v>0.20599999999999999</v>
      </c>
      <c r="M21" s="27">
        <v>-0.84799999999999998</v>
      </c>
      <c r="N21" s="27">
        <v>0.60099999999999998</v>
      </c>
      <c r="O21" s="27">
        <v>0.36699999999999999</v>
      </c>
      <c r="P21" s="6">
        <v>0.3478</v>
      </c>
      <c r="Q21" s="27">
        <v>0.53400000000000003</v>
      </c>
      <c r="R21" s="27">
        <v>0.68600000000000005</v>
      </c>
      <c r="S21" s="6">
        <v>-3.1099999999999999E-2</v>
      </c>
      <c r="T21" s="6">
        <v>2.3599999999999999E-2</v>
      </c>
      <c r="U21" s="32">
        <v>3.4499999999999999E-3</v>
      </c>
      <c r="V21" s="29">
        <v>0</v>
      </c>
      <c r="W21" s="29">
        <v>0</v>
      </c>
      <c r="X21" s="29">
        <v>0</v>
      </c>
      <c r="Y21" s="29">
        <v>0</v>
      </c>
      <c r="Z21" s="9">
        <v>0.59599999999999997</v>
      </c>
      <c r="AA21" s="9">
        <v>0.11700000000000001</v>
      </c>
      <c r="AB21" s="9">
        <v>1.6160000000000001</v>
      </c>
      <c r="AC21" s="9">
        <v>-0.73299999999999998</v>
      </c>
      <c r="AD21" s="9">
        <v>1</v>
      </c>
      <c r="AE21" s="9">
        <v>-0.128</v>
      </c>
      <c r="AF21" s="9">
        <v>-0.75600000000000001</v>
      </c>
      <c r="AG21" s="5">
        <v>400</v>
      </c>
      <c r="AH21" s="9">
        <v>0</v>
      </c>
      <c r="AI21" s="9">
        <v>2.11</v>
      </c>
      <c r="AJ21" s="5">
        <v>1.88</v>
      </c>
      <c r="AK21" s="5">
        <v>1.18</v>
      </c>
      <c r="AL21" s="9">
        <v>0.52700000000000002</v>
      </c>
      <c r="AM21" s="9">
        <v>0.57799999999999996</v>
      </c>
      <c r="AN21" s="9">
        <v>0.5</v>
      </c>
      <c r="AO21" s="9">
        <v>0.41699999999999998</v>
      </c>
      <c r="AP21" s="9">
        <v>0.3</v>
      </c>
      <c r="AQ21" s="9">
        <v>0.22900000000000001</v>
      </c>
      <c r="AR21" s="9">
        <v>0.23400000000000001</v>
      </c>
      <c r="AV21" s="29"/>
      <c r="AW21" s="6"/>
      <c r="AY21" s="29"/>
    </row>
    <row r="22" spans="1:52" ht="15.75" customHeight="1" x14ac:dyDescent="0.45">
      <c r="A22" s="28">
        <v>4</v>
      </c>
      <c r="B22" s="49">
        <v>-14.02</v>
      </c>
      <c r="C22" s="27">
        <v>2.1320000000000001</v>
      </c>
      <c r="D22" s="27">
        <v>0.72599999999999998</v>
      </c>
      <c r="E22" s="27">
        <v>-1.506</v>
      </c>
      <c r="F22" s="27">
        <v>-0.88500000000000001</v>
      </c>
      <c r="G22" s="27">
        <v>-1.986</v>
      </c>
      <c r="H22" s="27">
        <v>0.13500000000000001</v>
      </c>
      <c r="I22" s="27">
        <v>7.9779999999999998</v>
      </c>
      <c r="J22" s="29">
        <v>0</v>
      </c>
      <c r="K22" s="29">
        <v>0</v>
      </c>
      <c r="L22" s="27">
        <v>0.105</v>
      </c>
      <c r="M22" s="27">
        <v>-0.79300000000000004</v>
      </c>
      <c r="N22" s="27">
        <v>0.56799999999999995</v>
      </c>
      <c r="O22" s="27">
        <v>0.30599999999999999</v>
      </c>
      <c r="P22" s="6">
        <v>0.37469999999999998</v>
      </c>
      <c r="Q22" s="27">
        <v>0.52200000000000002</v>
      </c>
      <c r="R22" s="27">
        <v>0.69099999999999995</v>
      </c>
      <c r="S22" s="6">
        <v>-4.1300000000000003E-2</v>
      </c>
      <c r="T22" s="6">
        <v>1.0200000000000001E-2</v>
      </c>
      <c r="U22" s="32">
        <v>6.0299999999999998E-3</v>
      </c>
      <c r="V22" s="29">
        <v>0</v>
      </c>
      <c r="W22" s="29">
        <v>0</v>
      </c>
      <c r="X22" s="29">
        <v>0</v>
      </c>
      <c r="Y22" s="29">
        <v>0</v>
      </c>
      <c r="Z22" s="9">
        <v>0.59599999999999997</v>
      </c>
      <c r="AA22" s="9">
        <v>0.11700000000000001</v>
      </c>
      <c r="AB22" s="9">
        <v>1.6160000000000001</v>
      </c>
      <c r="AC22" s="9">
        <v>-0.73299999999999998</v>
      </c>
      <c r="AD22" s="9">
        <v>1</v>
      </c>
      <c r="AE22" s="9">
        <v>-0.128</v>
      </c>
      <c r="AF22" s="9">
        <v>-0.75600000000000001</v>
      </c>
      <c r="AG22" s="5">
        <v>400</v>
      </c>
      <c r="AH22" s="9">
        <v>0</v>
      </c>
      <c r="AI22" s="9">
        <v>2.2000000000000002</v>
      </c>
      <c r="AJ22" s="5">
        <v>1.88</v>
      </c>
      <c r="AK22" s="5">
        <v>1.18</v>
      </c>
      <c r="AL22" s="9">
        <v>0.52100000000000002</v>
      </c>
      <c r="AM22" s="9">
        <v>0.55900000000000005</v>
      </c>
      <c r="AN22" s="9">
        <v>0.54300000000000004</v>
      </c>
      <c r="AO22" s="9">
        <v>0.39300000000000002</v>
      </c>
      <c r="AP22" s="9">
        <v>0.3</v>
      </c>
      <c r="AQ22" s="9">
        <v>0.23699999999999999</v>
      </c>
      <c r="AR22" s="9">
        <v>0.20200000000000001</v>
      </c>
      <c r="AV22" s="29"/>
      <c r="AW22" s="6"/>
      <c r="AY22" s="27"/>
      <c r="AZ22" s="6"/>
    </row>
    <row r="23" spans="1:52" ht="15.75" customHeight="1" x14ac:dyDescent="0.45">
      <c r="A23" s="28">
        <v>5</v>
      </c>
      <c r="B23" s="49">
        <v>-14.558</v>
      </c>
      <c r="C23" s="27">
        <v>2.1160000000000001</v>
      </c>
      <c r="D23" s="27">
        <v>1.0269999999999999</v>
      </c>
      <c r="E23" s="27">
        <v>-1.7210000000000001</v>
      </c>
      <c r="F23" s="27">
        <v>-0.878</v>
      </c>
      <c r="G23" s="27">
        <v>-2.0209999999999999</v>
      </c>
      <c r="H23" s="27">
        <v>0.13500000000000001</v>
      </c>
      <c r="I23" s="27">
        <v>8.5380000000000003</v>
      </c>
      <c r="J23" s="29">
        <v>0</v>
      </c>
      <c r="K23" s="29">
        <v>0</v>
      </c>
      <c r="L23" s="29">
        <v>0</v>
      </c>
      <c r="M23" s="27">
        <v>-0.748</v>
      </c>
      <c r="N23" s="27">
        <v>0.35599999999999998</v>
      </c>
      <c r="O23" s="27">
        <v>0.26800000000000002</v>
      </c>
      <c r="P23" s="6">
        <v>0.3382</v>
      </c>
      <c r="Q23" s="27">
        <v>0.47699999999999998</v>
      </c>
      <c r="R23" s="27">
        <v>0.67</v>
      </c>
      <c r="S23" s="6">
        <v>-2.81E-2</v>
      </c>
      <c r="T23" s="6">
        <v>3.3999999999999998E-3</v>
      </c>
      <c r="U23" s="32">
        <v>8.0499999999999999E-3</v>
      </c>
      <c r="V23" s="29">
        <v>0</v>
      </c>
      <c r="W23" s="29">
        <v>0</v>
      </c>
      <c r="X23" s="29">
        <v>0</v>
      </c>
      <c r="Y23" s="29">
        <v>0</v>
      </c>
      <c r="Z23" s="9">
        <v>0.59599999999999997</v>
      </c>
      <c r="AA23" s="9">
        <v>0.11700000000000001</v>
      </c>
      <c r="AB23" s="9">
        <v>1.6160000000000001</v>
      </c>
      <c r="AC23" s="9">
        <v>-0.73299999999999998</v>
      </c>
      <c r="AD23" s="9">
        <v>1</v>
      </c>
      <c r="AE23" s="9">
        <v>-0.128</v>
      </c>
      <c r="AF23" s="9">
        <v>-0.75600000000000001</v>
      </c>
      <c r="AG23" s="5">
        <v>400</v>
      </c>
      <c r="AH23" s="9">
        <v>0</v>
      </c>
      <c r="AI23" s="9">
        <v>2.2909999999999999</v>
      </c>
      <c r="AJ23" s="5">
        <v>1.88</v>
      </c>
      <c r="AK23" s="5">
        <v>1.18</v>
      </c>
      <c r="AL23" s="9">
        <v>0.502</v>
      </c>
      <c r="AM23" s="9">
        <v>0.55100000000000005</v>
      </c>
      <c r="AN23" s="9">
        <v>0.53400000000000003</v>
      </c>
      <c r="AO23" s="9">
        <v>0.42099999999999999</v>
      </c>
      <c r="AP23" s="9">
        <v>0.3</v>
      </c>
      <c r="AQ23" s="9">
        <v>0.23699999999999999</v>
      </c>
      <c r="AR23" s="9">
        <v>0.184</v>
      </c>
      <c r="AV23" s="29"/>
      <c r="AW23" s="6"/>
    </row>
    <row r="24" spans="1:52" ht="15.75" customHeight="1" x14ac:dyDescent="0.45">
      <c r="A24" s="28">
        <v>7.5</v>
      </c>
      <c r="B24" s="49">
        <v>-15.509</v>
      </c>
      <c r="C24" s="27">
        <v>2.2229999999999999</v>
      </c>
      <c r="D24" s="27">
        <v>0.16900000000000001</v>
      </c>
      <c r="E24" s="27">
        <v>-0.75600000000000001</v>
      </c>
      <c r="F24" s="27">
        <v>-1.077</v>
      </c>
      <c r="G24" s="27">
        <v>-2.1789999999999998</v>
      </c>
      <c r="H24" s="27">
        <v>0.16500000000000001</v>
      </c>
      <c r="I24" s="27">
        <v>8.468</v>
      </c>
      <c r="J24" s="29">
        <v>0</v>
      </c>
      <c r="K24" s="29">
        <v>0</v>
      </c>
      <c r="L24" s="29">
        <v>0</v>
      </c>
      <c r="M24" s="27">
        <v>-0.66400000000000003</v>
      </c>
      <c r="N24" s="27">
        <v>7.4999999999999997E-2</v>
      </c>
      <c r="O24" s="27">
        <v>0.374</v>
      </c>
      <c r="P24" s="6">
        <v>0.37540000000000001</v>
      </c>
      <c r="Q24" s="27">
        <v>0.32100000000000001</v>
      </c>
      <c r="R24" s="27">
        <v>0.75700000000000001</v>
      </c>
      <c r="S24" s="6">
        <v>-2.0500000000000001E-2</v>
      </c>
      <c r="T24" s="6">
        <v>5.0000000000000001E-3</v>
      </c>
      <c r="U24" s="32">
        <v>2.8E-3</v>
      </c>
      <c r="V24" s="29">
        <v>0</v>
      </c>
      <c r="W24" s="29">
        <v>0</v>
      </c>
      <c r="X24" s="29">
        <v>0</v>
      </c>
      <c r="Y24" s="29">
        <v>0</v>
      </c>
      <c r="Z24" s="9">
        <v>0.59599999999999997</v>
      </c>
      <c r="AA24" s="9">
        <v>0.11700000000000001</v>
      </c>
      <c r="AB24" s="9">
        <v>1.6160000000000001</v>
      </c>
      <c r="AC24" s="9">
        <v>-0.73299999999999998</v>
      </c>
      <c r="AD24" s="9">
        <v>1</v>
      </c>
      <c r="AE24" s="9">
        <v>-0.128</v>
      </c>
      <c r="AF24" s="9">
        <v>-0.75600000000000001</v>
      </c>
      <c r="AG24" s="5">
        <v>400</v>
      </c>
      <c r="AH24" s="9">
        <v>0</v>
      </c>
      <c r="AI24" s="9">
        <v>2.5169999999999999</v>
      </c>
      <c r="AJ24" s="5">
        <v>1.88</v>
      </c>
      <c r="AK24" s="5">
        <v>1.18</v>
      </c>
      <c r="AL24" s="9">
        <v>0.45700000000000002</v>
      </c>
      <c r="AM24" s="9">
        <v>0.54600000000000004</v>
      </c>
      <c r="AN24" s="9">
        <v>0.52300000000000002</v>
      </c>
      <c r="AO24" s="9">
        <v>0.438</v>
      </c>
      <c r="AP24" s="9">
        <v>0.3</v>
      </c>
      <c r="AQ24" s="9">
        <v>0.27100000000000002</v>
      </c>
      <c r="AR24" s="9">
        <v>0.17599999999999999</v>
      </c>
      <c r="AV24" s="29"/>
      <c r="AW24" s="6"/>
    </row>
    <row r="25" spans="1:52" ht="15.75" customHeight="1" x14ac:dyDescent="0.45">
      <c r="A25" s="28">
        <v>10</v>
      </c>
      <c r="B25" s="49">
        <v>-15.975</v>
      </c>
      <c r="C25" s="27">
        <v>2.1320000000000001</v>
      </c>
      <c r="D25" s="27">
        <v>0.36699999999999999</v>
      </c>
      <c r="E25" s="27">
        <v>-0.8</v>
      </c>
      <c r="F25" s="27">
        <v>-1.282</v>
      </c>
      <c r="G25" s="27">
        <v>-2.2440000000000002</v>
      </c>
      <c r="H25" s="27">
        <v>0.18</v>
      </c>
      <c r="I25" s="27">
        <v>6.5640000000000001</v>
      </c>
      <c r="J25" s="29">
        <v>0</v>
      </c>
      <c r="K25" s="29">
        <v>0</v>
      </c>
      <c r="L25" s="29">
        <v>0</v>
      </c>
      <c r="M25" s="27">
        <v>-0.57599999999999996</v>
      </c>
      <c r="N25" s="27">
        <v>-2.7E-2</v>
      </c>
      <c r="O25" s="27">
        <v>0.29699999999999999</v>
      </c>
      <c r="P25" s="6">
        <v>0.35060000000000002</v>
      </c>
      <c r="Q25" s="27">
        <v>0.17399999999999999</v>
      </c>
      <c r="R25" s="27">
        <v>0.621</v>
      </c>
      <c r="S25" s="6">
        <v>8.9999999999999998E-4</v>
      </c>
      <c r="T25" s="6">
        <v>9.9000000000000008E-3</v>
      </c>
      <c r="U25" s="32">
        <v>4.5799999999999999E-3</v>
      </c>
      <c r="V25" s="29">
        <v>0</v>
      </c>
      <c r="W25" s="29">
        <v>0</v>
      </c>
      <c r="X25" s="29">
        <v>0</v>
      </c>
      <c r="Y25" s="29">
        <v>0</v>
      </c>
      <c r="Z25" s="9">
        <v>0.59599999999999997</v>
      </c>
      <c r="AA25" s="9">
        <v>0.11700000000000001</v>
      </c>
      <c r="AB25" s="9">
        <v>1.6160000000000001</v>
      </c>
      <c r="AC25" s="9">
        <v>-0.73299999999999998</v>
      </c>
      <c r="AD25" s="9">
        <v>1</v>
      </c>
      <c r="AE25" s="9">
        <v>-0.128</v>
      </c>
      <c r="AF25" s="9">
        <v>-0.75600000000000001</v>
      </c>
      <c r="AG25" s="5">
        <v>400</v>
      </c>
      <c r="AH25" s="9">
        <v>0</v>
      </c>
      <c r="AI25" s="9">
        <v>2.7440000000000002</v>
      </c>
      <c r="AJ25" s="5">
        <v>1.88</v>
      </c>
      <c r="AK25" s="5">
        <v>1.18</v>
      </c>
      <c r="AL25" s="9">
        <v>0.441</v>
      </c>
      <c r="AM25" s="9">
        <v>0.54300000000000004</v>
      </c>
      <c r="AN25" s="9">
        <v>0.46600000000000003</v>
      </c>
      <c r="AO25" s="9">
        <v>0.438</v>
      </c>
      <c r="AP25" s="9">
        <v>0.3</v>
      </c>
      <c r="AQ25" s="9">
        <v>0.28999999999999998</v>
      </c>
      <c r="AR25" s="9">
        <v>0.154</v>
      </c>
      <c r="AV25" s="29"/>
      <c r="AW25" s="6"/>
    </row>
    <row r="26" spans="1:52" ht="15.75" customHeight="1" x14ac:dyDescent="0.45">
      <c r="A26" s="28">
        <v>1E-3</v>
      </c>
      <c r="B26" s="49">
        <v>-4.4160000000000004</v>
      </c>
      <c r="C26" s="27">
        <v>0.98399999999999999</v>
      </c>
      <c r="D26" s="27">
        <v>0.53700000000000003</v>
      </c>
      <c r="E26" s="27">
        <v>-1.4990000000000001</v>
      </c>
      <c r="F26" s="9">
        <v>-0.496</v>
      </c>
      <c r="G26" s="27">
        <v>-2.7730000000000001</v>
      </c>
      <c r="H26" s="27">
        <v>0.248</v>
      </c>
      <c r="I26" s="27">
        <v>6.7679999999999998</v>
      </c>
      <c r="J26" s="29">
        <v>0</v>
      </c>
      <c r="K26" s="27">
        <v>-0.21199999999999999</v>
      </c>
      <c r="L26" s="27">
        <v>0.72</v>
      </c>
      <c r="M26" s="27">
        <v>1.0900000000000001</v>
      </c>
      <c r="N26" s="27">
        <v>2.1859999999999999</v>
      </c>
      <c r="O26" s="27">
        <v>1.42</v>
      </c>
      <c r="P26" s="6">
        <v>-6.4000000000000003E-3</v>
      </c>
      <c r="Q26" s="27">
        <v>-0.20200000000000001</v>
      </c>
      <c r="R26" s="27">
        <v>0.39300000000000002</v>
      </c>
      <c r="S26" s="6">
        <v>9.7699999999999995E-2</v>
      </c>
      <c r="T26" s="6">
        <v>3.3300000000000003E-2</v>
      </c>
      <c r="U26" s="32">
        <v>7.5700000000000003E-3</v>
      </c>
      <c r="V26" s="6">
        <v>-5.4999999999999997E-3</v>
      </c>
      <c r="W26" s="29">
        <v>0</v>
      </c>
      <c r="X26" s="6">
        <v>-3.5000000000000001E-3</v>
      </c>
      <c r="Y26" s="6">
        <v>3.5999999999999999E-3</v>
      </c>
      <c r="Z26" s="9">
        <v>0.16700000000000001</v>
      </c>
      <c r="AA26" s="9">
        <v>0.24099999999999999</v>
      </c>
      <c r="AB26" s="9">
        <v>1.474</v>
      </c>
      <c r="AC26" s="9">
        <v>-0.71499999999999997</v>
      </c>
      <c r="AD26" s="9">
        <v>1</v>
      </c>
      <c r="AE26" s="9">
        <v>-0.33700000000000002</v>
      </c>
      <c r="AF26" s="9">
        <v>-0.27</v>
      </c>
      <c r="AG26" s="5">
        <v>865</v>
      </c>
      <c r="AH26" s="9">
        <v>-1.1859999999999999</v>
      </c>
      <c r="AI26" s="9">
        <v>1.839</v>
      </c>
      <c r="AJ26" s="5">
        <v>1.88</v>
      </c>
      <c r="AK26" s="5">
        <v>1.18</v>
      </c>
      <c r="AL26" s="9">
        <v>0.73399999999999999</v>
      </c>
      <c r="AM26" s="9">
        <v>0.49199999999999999</v>
      </c>
      <c r="AN26" s="9">
        <v>0.40899999999999997</v>
      </c>
      <c r="AO26" s="9">
        <v>0.32200000000000001</v>
      </c>
      <c r="AP26" s="9">
        <v>0.3</v>
      </c>
      <c r="AQ26" s="9">
        <v>0.16600000000000001</v>
      </c>
      <c r="AR26" s="9">
        <v>1</v>
      </c>
      <c r="AS26" s="33"/>
      <c r="AT26" s="33"/>
      <c r="AU26" s="33"/>
      <c r="AV26" s="27"/>
      <c r="AW26" s="34"/>
    </row>
    <row r="27" spans="1:52" ht="15.75" customHeight="1" x14ac:dyDescent="0.45">
      <c r="A27" s="28">
        <v>-1</v>
      </c>
      <c r="B27" s="49">
        <v>-2.895</v>
      </c>
      <c r="C27" s="27">
        <v>1.51</v>
      </c>
      <c r="D27" s="27">
        <v>0.27</v>
      </c>
      <c r="E27" s="27">
        <v>-1.2989999999999999</v>
      </c>
      <c r="F27" s="27">
        <v>-0.45300000000000001</v>
      </c>
      <c r="G27" s="27">
        <v>-2.4660000000000002</v>
      </c>
      <c r="H27" s="27">
        <v>0.20399999999999999</v>
      </c>
      <c r="I27" s="27">
        <v>5.8369999999999997</v>
      </c>
      <c r="J27" s="29">
        <v>0</v>
      </c>
      <c r="K27" s="27">
        <v>-0.16800000000000001</v>
      </c>
      <c r="L27" s="27">
        <v>0.30499999999999999</v>
      </c>
      <c r="M27" s="27">
        <v>1.7130000000000001</v>
      </c>
      <c r="N27" s="27">
        <v>2.6019999999999999</v>
      </c>
      <c r="O27" s="27">
        <v>2.4569999999999999</v>
      </c>
      <c r="P27" s="6">
        <v>0.106</v>
      </c>
      <c r="Q27" s="27">
        <v>0.33200000000000002</v>
      </c>
      <c r="R27" s="27">
        <v>0.58499999999999996</v>
      </c>
      <c r="S27" s="6">
        <v>5.1700000000000003E-2</v>
      </c>
      <c r="T27" s="6">
        <v>3.27E-2</v>
      </c>
      <c r="U27" s="32">
        <v>6.13E-3</v>
      </c>
      <c r="V27" s="6">
        <v>-1.6999999999999999E-3</v>
      </c>
      <c r="W27" s="29">
        <v>0</v>
      </c>
      <c r="X27" s="6">
        <v>-5.9999999999999995E-4</v>
      </c>
      <c r="Y27" s="6">
        <v>1.6999999999999999E-3</v>
      </c>
      <c r="Z27" s="9">
        <v>0.59599999999999997</v>
      </c>
      <c r="AA27" s="9">
        <v>0.11700000000000001</v>
      </c>
      <c r="AB27" s="9">
        <v>1.6160000000000001</v>
      </c>
      <c r="AC27" s="9">
        <v>-0.73299999999999998</v>
      </c>
      <c r="AD27" s="9">
        <v>1</v>
      </c>
      <c r="AE27" s="9">
        <v>-0.128</v>
      </c>
      <c r="AF27" s="9">
        <v>-0.75600000000000001</v>
      </c>
      <c r="AG27" s="29">
        <v>400</v>
      </c>
      <c r="AH27" s="27">
        <v>-1.9550000000000001</v>
      </c>
      <c r="AI27" s="27">
        <v>1.929</v>
      </c>
      <c r="AJ27" s="29">
        <v>1.88</v>
      </c>
      <c r="AK27" s="29">
        <v>1.18</v>
      </c>
      <c r="AL27" s="27">
        <v>0.65500000000000003</v>
      </c>
      <c r="AM27" s="27">
        <v>0.49399999999999999</v>
      </c>
      <c r="AN27" s="27">
        <v>0.317</v>
      </c>
      <c r="AO27" s="27">
        <v>0.29699999999999999</v>
      </c>
      <c r="AP27" s="27">
        <v>0.3</v>
      </c>
      <c r="AQ27" s="27">
        <v>0.19</v>
      </c>
      <c r="AR27" s="9">
        <v>0.68400000000000005</v>
      </c>
      <c r="AW27" s="6"/>
    </row>
    <row r="28" spans="1:52" ht="15.75" customHeight="1" x14ac:dyDescent="0.45">
      <c r="AO28" s="27"/>
      <c r="AP28" s="27"/>
      <c r="AQ28" s="27"/>
      <c r="AR28" s="27"/>
    </row>
  </sheetData>
  <sheetProtection password="EDF4" sheet="1" objects="1" scenarios="1"/>
  <mergeCells count="1">
    <mergeCell ref="A4:XFD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Y86"/>
  <sheetViews>
    <sheetView workbookViewId="0">
      <selection sqref="A1:XFD1048576"/>
    </sheetView>
  </sheetViews>
  <sheetFormatPr defaultColWidth="8.86328125" defaultRowHeight="14.25" x14ac:dyDescent="0.45"/>
  <cols>
    <col min="1" max="1" width="12.73046875" customWidth="1"/>
    <col min="2" max="2" width="18.1328125" customWidth="1"/>
    <col min="5" max="5" width="9.1328125" hidden="1" customWidth="1"/>
    <col min="6" max="6" width="20.265625" hidden="1" customWidth="1"/>
    <col min="7" max="7" width="10.265625" hidden="1" customWidth="1"/>
    <col min="8" max="14" width="9.1328125" hidden="1" customWidth="1"/>
    <col min="15" max="16" width="10.86328125" hidden="1" customWidth="1"/>
    <col min="17" max="20" width="9.1328125" hidden="1" customWidth="1"/>
    <col min="21" max="21" width="12" style="41" customWidth="1"/>
    <col min="22" max="22" width="12" style="32" customWidth="1"/>
    <col min="23" max="23" width="9.3984375" style="49" bestFit="1" customWidth="1"/>
  </cols>
  <sheetData>
    <row r="1" spans="1:23" x14ac:dyDescent="0.45">
      <c r="A1" s="57" t="s">
        <v>602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3" x14ac:dyDescent="0.4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5"/>
      <c r="S2" s="5"/>
    </row>
    <row r="3" spans="1:23" ht="33" customHeight="1" x14ac:dyDescent="0.45">
      <c r="A3" s="171" t="s">
        <v>383</v>
      </c>
      <c r="B3" s="171" t="s">
        <v>382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27" t="s">
        <v>430</v>
      </c>
    </row>
    <row r="4" spans="1:23" ht="17.25" customHeight="1" x14ac:dyDescent="0.65">
      <c r="A4" s="1"/>
      <c r="B4" s="1"/>
      <c r="C4" s="1"/>
      <c r="D4" s="5"/>
      <c r="E4" s="398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9"/>
      <c r="R4" s="399"/>
      <c r="S4" s="399"/>
      <c r="T4" s="399"/>
      <c r="U4" s="394" t="s">
        <v>264</v>
      </c>
      <c r="V4" s="394"/>
    </row>
    <row r="5" spans="1:23" ht="15.4" x14ac:dyDescent="0.45">
      <c r="A5" s="2" t="s">
        <v>0</v>
      </c>
      <c r="B5" s="52"/>
      <c r="C5" s="35" t="s">
        <v>20</v>
      </c>
      <c r="D5" s="21" t="s">
        <v>21</v>
      </c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81"/>
      <c r="Q5" s="21"/>
      <c r="R5" s="8"/>
      <c r="S5" s="22"/>
      <c r="T5" s="37"/>
      <c r="U5" s="101" t="s">
        <v>25</v>
      </c>
      <c r="V5" s="128" t="s">
        <v>32</v>
      </c>
    </row>
    <row r="6" spans="1:23" ht="15" customHeight="1" x14ac:dyDescent="0.45">
      <c r="A6" s="3">
        <f>Main!$B$24</f>
        <v>8.1</v>
      </c>
      <c r="B6" s="94" t="str">
        <f>IF(AND($A$24=0, $A$21=0,$A$6&gt;=3.5,$A$6&lt;=8.5),"",IF(AND($A$21=1,$A$6&gt;=3.5,$A$6&lt;=8),"",IF(AND($A$24=1,$A$6&gt;=3.5,$A$6&lt;=8),"","! Not Applicable !")))</f>
        <v/>
      </c>
      <c r="C6" s="393" t="s">
        <v>431</v>
      </c>
      <c r="D6" s="24">
        <v>0.01</v>
      </c>
      <c r="E6" s="7"/>
      <c r="F6" s="7"/>
      <c r="G6" s="7"/>
      <c r="H6" s="7"/>
      <c r="I6" s="7"/>
      <c r="J6" s="7"/>
      <c r="K6" s="7"/>
      <c r="L6" s="7"/>
      <c r="M6" s="7"/>
      <c r="N6" s="7"/>
      <c r="O6" s="5"/>
      <c r="P6" s="13"/>
      <c r="Q6" s="7"/>
      <c r="R6" s="6"/>
      <c r="S6" s="6"/>
      <c r="T6" s="6"/>
      <c r="U6" s="246">
        <f>CY_14($A$6,$A$9,$A$12,$A$15,$A$18,$A$21,$A$24,$A$27,$A$30,$A$33,$A$42,$A$36,$A$59,$A$45,$D6)</f>
        <v>0.37962427597522086</v>
      </c>
      <c r="V6" s="246">
        <f>CY14_stdev($A$6,$A$9,$A$12,$A$15,$A$18,$A$21,$A$24,$A$27,$A$30,$A$33,$A$42,$A$36,$A$45,$A$39,$D6)</f>
        <v>0.5316061746445917</v>
      </c>
      <c r="W6" s="129"/>
    </row>
    <row r="7" spans="1:23" x14ac:dyDescent="0.45">
      <c r="A7" s="3"/>
      <c r="C7" s="393"/>
      <c r="D7" s="24">
        <v>0.02</v>
      </c>
      <c r="E7" s="7"/>
      <c r="F7" s="7"/>
      <c r="G7" s="7"/>
      <c r="H7" s="7"/>
      <c r="I7" s="7"/>
      <c r="J7" s="7"/>
      <c r="K7" s="7"/>
      <c r="L7" s="7"/>
      <c r="M7" s="7"/>
      <c r="N7" s="7"/>
      <c r="O7" s="5"/>
      <c r="P7" s="13"/>
      <c r="Q7" s="7"/>
      <c r="R7" s="6"/>
      <c r="S7" s="6"/>
      <c r="T7" s="6"/>
      <c r="U7" s="246">
        <f>CY_14($A$6,$A$9,$A$12,$A$15,$A$18,$A$21,$A$24,$A$27,$A$30,$A$33,$A$42,$A$36,$A$59,$A$45,$D7)</f>
        <v>0.38196587960683642</v>
      </c>
      <c r="V7" s="246">
        <f t="shared" ref="V7:V26" si="0">CY14_stdev($A$6,$A$9,$A$12,$A$15,$A$18,$A$21,$A$24,$A$27,$A$30,$A$33,$A$42,$A$36,$A$45,$A$39,$D7)</f>
        <v>0.53484888195806735</v>
      </c>
      <c r="W7" s="129"/>
    </row>
    <row r="8" spans="1:23" ht="15" x14ac:dyDescent="0.5">
      <c r="A8" s="4" t="s">
        <v>1</v>
      </c>
      <c r="C8" s="393"/>
      <c r="D8" s="24">
        <v>0.03</v>
      </c>
      <c r="E8" s="7"/>
      <c r="F8" s="7"/>
      <c r="G8" s="7"/>
      <c r="H8" s="7"/>
      <c r="I8" s="7"/>
      <c r="J8" s="7"/>
      <c r="K8" s="7"/>
      <c r="L8" s="7"/>
      <c r="M8" s="7"/>
      <c r="N8" s="7"/>
      <c r="O8" s="5"/>
      <c r="P8" s="13"/>
      <c r="Q8" s="7"/>
      <c r="R8" s="6"/>
      <c r="S8" s="6"/>
      <c r="T8" s="6"/>
      <c r="U8" s="246">
        <f>CY_14($A$6,$A$9,$A$12,$A$15,$A$18,$A$21,$A$24,$A$27,$A$30,$A$33,$A$42,$A$36,$A$59,$A$45,$D8)</f>
        <v>0.39694570965883275</v>
      </c>
      <c r="V8" s="246">
        <f t="shared" si="0"/>
        <v>0.54561305935392512</v>
      </c>
      <c r="W8" s="129"/>
    </row>
    <row r="9" spans="1:23" x14ac:dyDescent="0.45">
      <c r="A9" s="3">
        <f>Main!$B$27</f>
        <v>15.08</v>
      </c>
      <c r="B9" s="94" t="str">
        <f>IF(AND($A$9&gt;=0, $A$9&lt;=300),"","! Not Applicable !")</f>
        <v/>
      </c>
      <c r="C9" s="393"/>
      <c r="D9" s="24">
        <v>0.05</v>
      </c>
      <c r="E9" s="7"/>
      <c r="F9" s="7"/>
      <c r="G9" s="7"/>
      <c r="H9" s="7"/>
      <c r="I9" s="7"/>
      <c r="J9" s="7"/>
      <c r="K9" s="7"/>
      <c r="L9" s="7"/>
      <c r="M9" s="7"/>
      <c r="N9" s="7"/>
      <c r="O9" s="5"/>
      <c r="P9" s="13"/>
      <c r="Q9" s="7"/>
      <c r="R9" s="6"/>
      <c r="S9" s="6"/>
      <c r="T9" s="6"/>
      <c r="U9" s="246">
        <f>CY_14($A$6,$A$9,$A$12,$A$15,$A$18,$A$21,$A$24,$A$27,$A$30,$A$33,$A$42,$A$36,$A$59,$A$45,$D9)</f>
        <v>0.45853448464500413</v>
      </c>
      <c r="V9" s="246">
        <f t="shared" si="0"/>
        <v>0.54822203316516216</v>
      </c>
      <c r="W9" s="129"/>
    </row>
    <row r="10" spans="1:23" x14ac:dyDescent="0.45">
      <c r="A10" s="3"/>
      <c r="C10" s="393"/>
      <c r="D10" s="24">
        <v>7.4999999999999997E-2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5"/>
      <c r="P10" s="13"/>
      <c r="Q10" s="7"/>
      <c r="R10" s="6"/>
      <c r="S10" s="6"/>
      <c r="T10" s="6"/>
      <c r="U10" s="246">
        <f>CY_14($A$6,$A$9,$A$12,$A$15,$A$18,$A$21,$A$24,$A$27,$A$30,$A$33,$A$42,$A$36,$A$59,$A$45,$D10)</f>
        <v>0.56495109945227984</v>
      </c>
      <c r="V10" s="246">
        <f t="shared" si="0"/>
        <v>0.54265098612511642</v>
      </c>
      <c r="W10" s="129"/>
    </row>
    <row r="11" spans="1:23" ht="15" x14ac:dyDescent="0.5">
      <c r="A11" s="4" t="s">
        <v>2</v>
      </c>
      <c r="C11" s="393"/>
      <c r="D11" s="23">
        <v>0.1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5"/>
      <c r="P11" s="13"/>
      <c r="Q11" s="7"/>
      <c r="R11" s="6"/>
      <c r="S11" s="6"/>
      <c r="T11" s="6"/>
      <c r="U11" s="246">
        <f t="shared" ref="U11:U26" si="1">CY_14($A$6,$A$9,$A$12,$A$15,$A$18,$A$21,$A$24,$A$27,$A$30,$A$33,$A$42,$A$36,$A$59,$A$45,$D11)</f>
        <v>0.65595626381786432</v>
      </c>
      <c r="V11" s="246">
        <f t="shared" si="0"/>
        <v>0.54251036216217541</v>
      </c>
      <c r="W11" s="129"/>
    </row>
    <row r="12" spans="1:23" x14ac:dyDescent="0.45">
      <c r="A12" s="3">
        <f>Main!$B$30</f>
        <v>15.08</v>
      </c>
      <c r="B12" s="94" t="str">
        <f>IF($A$12&gt;$A$9,"Rjb cannot be greater than Rrup","")</f>
        <v/>
      </c>
      <c r="C12" s="393"/>
      <c r="D12" s="23">
        <v>0.15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5"/>
      <c r="P12" s="13"/>
      <c r="Q12" s="7"/>
      <c r="R12" s="6"/>
      <c r="S12" s="6"/>
      <c r="T12" s="6"/>
      <c r="U12" s="246">
        <f t="shared" si="1"/>
        <v>0.7737908674823788</v>
      </c>
      <c r="V12" s="246">
        <f t="shared" si="0"/>
        <v>0.55229931228574969</v>
      </c>
      <c r="W12" s="129"/>
    </row>
    <row r="13" spans="1:23" x14ac:dyDescent="0.45">
      <c r="A13" s="3"/>
      <c r="C13" s="393"/>
      <c r="D13" s="23">
        <v>0.2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5"/>
      <c r="P13" s="13"/>
      <c r="Q13" s="7"/>
      <c r="R13" s="6"/>
      <c r="S13" s="6"/>
      <c r="T13" s="6"/>
      <c r="U13" s="246">
        <f t="shared" si="1"/>
        <v>0.85030716924422434</v>
      </c>
      <c r="V13" s="246">
        <f t="shared" si="0"/>
        <v>0.56608949988920965</v>
      </c>
      <c r="W13" s="129"/>
    </row>
    <row r="14" spans="1:23" ht="15" x14ac:dyDescent="0.5">
      <c r="A14" s="4" t="s">
        <v>3</v>
      </c>
      <c r="C14" s="393"/>
      <c r="D14" s="23">
        <v>0.25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5"/>
      <c r="P14" s="13"/>
      <c r="Q14" s="7"/>
      <c r="R14" s="6"/>
      <c r="S14" s="6"/>
      <c r="T14" s="6"/>
      <c r="U14" s="246">
        <f t="shared" si="1"/>
        <v>0.88774165428501128</v>
      </c>
      <c r="V14" s="246">
        <f t="shared" si="0"/>
        <v>0.57982685150564672</v>
      </c>
      <c r="W14" s="129"/>
    </row>
    <row r="15" spans="1:23" x14ac:dyDescent="0.45">
      <c r="A15" s="3">
        <f>Main!$B$33</f>
        <v>15.08</v>
      </c>
      <c r="C15" s="393"/>
      <c r="D15" s="23">
        <v>0.3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5"/>
      <c r="P15" s="13"/>
      <c r="Q15" s="7"/>
      <c r="R15" s="6"/>
      <c r="S15" s="6"/>
      <c r="T15" s="6"/>
      <c r="U15" s="246">
        <f t="shared" si="1"/>
        <v>0.89057410315048413</v>
      </c>
      <c r="V15" s="246">
        <f t="shared" si="0"/>
        <v>0.59207523504474979</v>
      </c>
      <c r="W15" s="129"/>
    </row>
    <row r="16" spans="1:23" x14ac:dyDescent="0.45">
      <c r="A16" s="1"/>
      <c r="C16" s="393"/>
      <c r="D16" s="23">
        <v>0.4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5"/>
      <c r="P16" s="13"/>
      <c r="Q16" s="7"/>
      <c r="R16" s="6"/>
      <c r="S16" s="6"/>
      <c r="T16" s="6"/>
      <c r="U16" s="246">
        <f t="shared" si="1"/>
        <v>0.85209716094681287</v>
      </c>
      <c r="V16" s="246">
        <f t="shared" si="0"/>
        <v>0.6117383990360532</v>
      </c>
      <c r="W16" s="129"/>
    </row>
    <row r="17" spans="1:23" ht="15" x14ac:dyDescent="0.5">
      <c r="A17" s="4" t="s">
        <v>80</v>
      </c>
      <c r="C17" s="393"/>
      <c r="D17" s="25">
        <v>0.5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5"/>
      <c r="P17" s="13"/>
      <c r="Q17" s="7"/>
      <c r="R17" s="6"/>
      <c r="S17" s="6"/>
      <c r="T17" s="6"/>
      <c r="U17" s="246">
        <f t="shared" si="1"/>
        <v>0.79955399941245797</v>
      </c>
      <c r="V17" s="246">
        <f t="shared" si="0"/>
        <v>0.62715125769925806</v>
      </c>
      <c r="W17" s="129"/>
    </row>
    <row r="18" spans="1:23" x14ac:dyDescent="0.45">
      <c r="A18" s="5">
        <f>Main!$B$39</f>
        <v>360</v>
      </c>
      <c r="B18" s="94" t="str">
        <f>IF($A$18&lt;180,"! Not Applicable !", IF(AND($A$18&gt;=180, $A$18&lt;=1500),"","! Not Applicable !"))</f>
        <v/>
      </c>
      <c r="C18" s="393"/>
      <c r="D18" s="25">
        <v>0.75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5"/>
      <c r="P18" s="13"/>
      <c r="Q18" s="7"/>
      <c r="R18" s="6"/>
      <c r="S18" s="6"/>
      <c r="T18" s="6"/>
      <c r="U18" s="246">
        <f t="shared" si="1"/>
        <v>0.63242906630190776</v>
      </c>
      <c r="V18" s="246">
        <f t="shared" si="0"/>
        <v>0.65393362142206313</v>
      </c>
      <c r="W18" s="129"/>
    </row>
    <row r="19" spans="1:23" x14ac:dyDescent="0.45">
      <c r="C19" s="393"/>
      <c r="D19" s="25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5"/>
      <c r="P19" s="13"/>
      <c r="Q19" s="7"/>
      <c r="R19" s="6"/>
      <c r="S19" s="6"/>
      <c r="T19" s="6"/>
      <c r="U19" s="246">
        <f t="shared" si="1"/>
        <v>0.49545780292527897</v>
      </c>
      <c r="V19" s="246">
        <f t="shared" si="0"/>
        <v>0.6680968842887437</v>
      </c>
      <c r="W19" s="129"/>
    </row>
    <row r="20" spans="1:23" ht="15" x14ac:dyDescent="0.5">
      <c r="A20" s="4" t="s">
        <v>4</v>
      </c>
      <c r="C20" s="393"/>
      <c r="D20" s="25">
        <v>1.5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5"/>
      <c r="P20" s="13"/>
      <c r="Q20" s="7"/>
      <c r="R20" s="6"/>
      <c r="S20" s="6"/>
      <c r="T20" s="6"/>
      <c r="U20" s="246">
        <f t="shared" si="1"/>
        <v>0.3261602381569948</v>
      </c>
      <c r="V20" s="246">
        <f t="shared" si="0"/>
        <v>0.68265177686183087</v>
      </c>
      <c r="W20" s="129"/>
    </row>
    <row r="21" spans="1:23" x14ac:dyDescent="0.45">
      <c r="A21" s="5">
        <f>Main!$B$45</f>
        <v>0</v>
      </c>
      <c r="B21" s="94" t="str">
        <f>IF(AND($A$21=1,$A$6&gt;=3.5,$A$6&lt;=8),"",IF($A$21=0,"","! Not Applicable !"))</f>
        <v/>
      </c>
      <c r="C21" s="393"/>
      <c r="D21" s="25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5"/>
      <c r="P21" s="13"/>
      <c r="Q21" s="7"/>
      <c r="R21" s="6"/>
      <c r="S21" s="6"/>
      <c r="T21" s="6"/>
      <c r="U21" s="246">
        <f t="shared" si="1"/>
        <v>0.24115367165524576</v>
      </c>
      <c r="V21" s="246">
        <f t="shared" si="0"/>
        <v>0.68661981263988014</v>
      </c>
      <c r="W21" s="129"/>
    </row>
    <row r="22" spans="1:23" x14ac:dyDescent="0.45">
      <c r="A22" s="5"/>
      <c r="C22" s="393"/>
      <c r="D22" s="25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5"/>
      <c r="P22" s="13"/>
      <c r="Q22" s="7"/>
      <c r="R22" s="6"/>
      <c r="S22" s="6"/>
      <c r="T22" s="6"/>
      <c r="U22" s="246">
        <f t="shared" si="1"/>
        <v>0.15467313126514487</v>
      </c>
      <c r="V22" s="246">
        <f t="shared" si="0"/>
        <v>0.68761336530759043</v>
      </c>
      <c r="W22" s="129"/>
    </row>
    <row r="23" spans="1:23" ht="15" x14ac:dyDescent="0.5">
      <c r="A23" s="4" t="s">
        <v>5</v>
      </c>
      <c r="C23" s="393"/>
      <c r="D23" s="25">
        <v>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5"/>
      <c r="P23" s="13"/>
      <c r="Q23" s="7"/>
      <c r="R23" s="6"/>
      <c r="S23" s="6"/>
      <c r="T23" s="6"/>
      <c r="U23" s="246">
        <f t="shared" si="1"/>
        <v>0.10467699077145866</v>
      </c>
      <c r="V23" s="246">
        <f t="shared" si="0"/>
        <v>0.68666542676596298</v>
      </c>
      <c r="W23" s="129"/>
    </row>
    <row r="24" spans="1:23" x14ac:dyDescent="0.45">
      <c r="A24" s="5">
        <f>Main!$B$48</f>
        <v>0</v>
      </c>
      <c r="B24" s="94" t="str">
        <f>IF(AND($A$24=1,$A$6&gt;=3.5,$A$6&lt;=8),"",IF($A$24=0,"","! Not Applicable !"))</f>
        <v/>
      </c>
      <c r="C24" s="393"/>
      <c r="D24" s="25">
        <v>5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5"/>
      <c r="P24" s="13"/>
      <c r="Q24" s="7"/>
      <c r="R24" s="6"/>
      <c r="S24" s="6"/>
      <c r="T24" s="6"/>
      <c r="U24" s="246">
        <f t="shared" si="1"/>
        <v>7.2476254495694531E-2</v>
      </c>
      <c r="V24" s="246">
        <f t="shared" si="0"/>
        <v>0.68382605609906388</v>
      </c>
      <c r="W24" s="129"/>
    </row>
    <row r="25" spans="1:23" x14ac:dyDescent="0.45">
      <c r="C25" s="393"/>
      <c r="D25" s="25">
        <v>7.5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5"/>
      <c r="P25" s="13"/>
      <c r="Q25" s="7"/>
      <c r="R25" s="6"/>
      <c r="S25" s="6"/>
      <c r="T25" s="6"/>
      <c r="U25" s="246">
        <f t="shared" si="1"/>
        <v>3.5314584301426886E-2</v>
      </c>
      <c r="V25" s="246">
        <f t="shared" si="0"/>
        <v>0.67784519397868426</v>
      </c>
      <c r="W25" s="129"/>
    </row>
    <row r="26" spans="1:23" ht="15" x14ac:dyDescent="0.5">
      <c r="A26" s="4" t="s">
        <v>79</v>
      </c>
      <c r="C26" s="393"/>
      <c r="D26" s="25">
        <v>10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5"/>
      <c r="P26" s="13"/>
      <c r="Q26" s="7"/>
      <c r="R26" s="6"/>
      <c r="S26" s="6"/>
      <c r="T26" s="6"/>
      <c r="U26" s="246">
        <f t="shared" si="1"/>
        <v>2.0747966245423889E-2</v>
      </c>
      <c r="V26" s="246">
        <f t="shared" si="0"/>
        <v>0.67357839335893188</v>
      </c>
      <c r="W26" s="129"/>
    </row>
    <row r="27" spans="1:23" x14ac:dyDescent="0.45">
      <c r="A27" s="5">
        <f>Main!$B$51</f>
        <v>0</v>
      </c>
      <c r="C27" s="38"/>
      <c r="U27" s="250"/>
      <c r="V27" s="246"/>
    </row>
    <row r="28" spans="1:23" x14ac:dyDescent="0.45">
      <c r="A28" s="5"/>
      <c r="C28" s="201" t="s">
        <v>34</v>
      </c>
      <c r="D28" s="40">
        <v>0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13"/>
      <c r="P28" s="13"/>
      <c r="Q28" s="7"/>
      <c r="R28" s="6"/>
      <c r="S28" s="6"/>
      <c r="T28" s="6"/>
      <c r="U28" s="246">
        <f>CY_14($A$6,$A$9,$A$12,$A$15,$A$18,$A$21,$A$24,$A$27,$A$30,$A$33,$A$42,$A$36,$A$59,$A$45,$D28)</f>
        <v>0.37962427597522086</v>
      </c>
      <c r="V28" s="246">
        <f>CY14_stdev($A$6,$A$9,$A$12,$A$15,$A$18,$A$21,$A$24,$A$27,$A$30,$A$33,$A$42,$A$36,$A$45,$A$39,$D28)</f>
        <v>0.5316061746445917</v>
      </c>
    </row>
    <row r="29" spans="1:23" ht="15.4" x14ac:dyDescent="0.45">
      <c r="A29" s="8" t="s">
        <v>10</v>
      </c>
      <c r="C29" s="201" t="s">
        <v>35</v>
      </c>
      <c r="D29" s="40">
        <v>-1</v>
      </c>
      <c r="U29" s="246">
        <f>CY_14($A$6,$A$9,$A$12,$A$15,$A$18,$A$21,$A$24,$A$27,$A$30,$A$33,$A$42,$A$36,$A$59,$A$45,$D29)</f>
        <v>45.94972448504906</v>
      </c>
      <c r="V29" s="246">
        <f>CY14_stdev($A$6,$A$9,$A$12,$A$15,$A$18,$A$21,$A$24,$A$27,$A$30,$A$33,$A$42,$A$36,$A$45,$A$39,$D29)</f>
        <v>0.52508194932142838</v>
      </c>
    </row>
    <row r="30" spans="1:23" x14ac:dyDescent="0.45">
      <c r="A30" s="5">
        <f>Main!$B$54</f>
        <v>90</v>
      </c>
      <c r="D30" s="24"/>
      <c r="E30" s="24"/>
      <c r="F30" s="64"/>
      <c r="G30" s="36"/>
      <c r="H30" s="36"/>
      <c r="I30" s="26"/>
      <c r="J30" s="26"/>
      <c r="O30" s="26"/>
      <c r="P30" s="7"/>
      <c r="Q30" s="7"/>
      <c r="R30" s="27"/>
      <c r="S30" s="27"/>
      <c r="T30" s="27"/>
    </row>
    <row r="31" spans="1:23" x14ac:dyDescent="0.45">
      <c r="A31" s="1"/>
      <c r="C31" s="38"/>
      <c r="D31" s="24"/>
      <c r="E31" s="24"/>
      <c r="F31" s="64"/>
      <c r="G31" s="36"/>
      <c r="H31" s="36"/>
    </row>
    <row r="32" spans="1:23" ht="15" x14ac:dyDescent="0.5">
      <c r="A32" s="4" t="s">
        <v>7</v>
      </c>
      <c r="B32" s="94" t="str">
        <f>IF($A$9&lt;A33,"Rrup cannot be less than Ztor","")</f>
        <v/>
      </c>
      <c r="D32" s="24"/>
      <c r="E32" s="24"/>
      <c r="F32" s="64"/>
      <c r="G32" s="36"/>
      <c r="H32" s="36"/>
    </row>
    <row r="33" spans="1:8" x14ac:dyDescent="0.45">
      <c r="A33" s="7">
        <f>Main!$B$57</f>
        <v>0.3</v>
      </c>
      <c r="B33" s="94" t="str">
        <f>IF($A$33&lt;=20,"","! Not Applicable !")</f>
        <v/>
      </c>
      <c r="D33" s="24"/>
      <c r="E33" s="24"/>
      <c r="F33" s="64"/>
      <c r="G33" s="36"/>
      <c r="H33" s="36"/>
    </row>
    <row r="34" spans="1:8" x14ac:dyDescent="0.45">
      <c r="A34" s="3"/>
      <c r="C34" s="1"/>
      <c r="D34" s="24"/>
      <c r="E34" s="24">
        <f>2.704 - 1.226 * (7- 5.849)</f>
        <v>1.2928740000000005</v>
      </c>
      <c r="F34" s="175">
        <f>E34^2</f>
        <v>1.6715231798760013</v>
      </c>
      <c r="G34" s="36"/>
      <c r="H34" s="36"/>
    </row>
    <row r="35" spans="1:8" ht="15" x14ac:dyDescent="0.5">
      <c r="A35" s="4" t="s">
        <v>81</v>
      </c>
      <c r="B35" s="126" t="s">
        <v>279</v>
      </c>
      <c r="C35" s="1"/>
      <c r="D35" s="23"/>
      <c r="E35" s="23"/>
      <c r="F35" s="64"/>
      <c r="G35" s="36"/>
      <c r="H35" s="36"/>
    </row>
    <row r="36" spans="1:8" x14ac:dyDescent="0.45">
      <c r="A36" s="9">
        <f>Main!$B$63</f>
        <v>0.5</v>
      </c>
      <c r="B36" s="134"/>
      <c r="C36" s="1"/>
      <c r="D36" s="23"/>
      <c r="E36" s="23"/>
      <c r="F36" s="64"/>
      <c r="G36" s="36"/>
      <c r="H36" s="36"/>
    </row>
    <row r="37" spans="1:8" x14ac:dyDescent="0.45">
      <c r="A37" s="5"/>
      <c r="B37" s="1"/>
      <c r="C37" s="1"/>
      <c r="D37" s="23"/>
      <c r="E37" s="23"/>
      <c r="F37" s="64"/>
      <c r="G37" s="36"/>
      <c r="H37" s="36"/>
    </row>
    <row r="38" spans="1:8" x14ac:dyDescent="0.45">
      <c r="A38" s="4" t="s">
        <v>220</v>
      </c>
      <c r="B38" s="55"/>
      <c r="C38" s="1"/>
      <c r="D38" s="23"/>
      <c r="E38" s="23"/>
      <c r="F38" s="64"/>
      <c r="G38" s="36"/>
      <c r="H38" s="36"/>
    </row>
    <row r="39" spans="1:8" x14ac:dyDescent="0.45">
      <c r="A39" s="5">
        <f>Main!$B$95</f>
        <v>0</v>
      </c>
      <c r="B39" s="55"/>
      <c r="C39" s="1"/>
      <c r="D39" s="23"/>
      <c r="E39" s="23"/>
      <c r="F39" s="64"/>
      <c r="G39" s="36"/>
      <c r="H39" s="36"/>
    </row>
    <row r="40" spans="1:8" x14ac:dyDescent="0.45">
      <c r="A40" s="5"/>
      <c r="B40" s="53"/>
      <c r="C40" s="1"/>
      <c r="D40" s="23"/>
      <c r="E40" s="23"/>
      <c r="F40" s="64"/>
      <c r="G40" s="36"/>
      <c r="H40" s="36"/>
    </row>
    <row r="41" spans="1:8" x14ac:dyDescent="0.45">
      <c r="A41" s="4" t="s">
        <v>183</v>
      </c>
      <c r="B41" s="55"/>
      <c r="C41" s="1"/>
      <c r="D41" s="23"/>
      <c r="E41" s="23"/>
      <c r="F41" s="64"/>
      <c r="G41" s="36"/>
      <c r="H41" s="36"/>
    </row>
    <row r="42" spans="1:8" x14ac:dyDescent="0.45">
      <c r="A42" s="12">
        <f>Main!$B$101</f>
        <v>0</v>
      </c>
      <c r="B42" s="55"/>
      <c r="C42" s="1"/>
      <c r="D42" s="23"/>
      <c r="E42" s="23"/>
      <c r="F42" s="64"/>
      <c r="G42" s="36"/>
      <c r="H42" s="36"/>
    </row>
    <row r="43" spans="1:8" x14ac:dyDescent="0.45">
      <c r="A43" s="5"/>
      <c r="B43" s="55"/>
      <c r="C43" s="1"/>
      <c r="D43" s="25"/>
      <c r="E43" s="25"/>
      <c r="F43" s="64"/>
      <c r="G43" s="36"/>
      <c r="H43" s="36"/>
    </row>
    <row r="44" spans="1:8" x14ac:dyDescent="0.45">
      <c r="A44" s="4" t="s">
        <v>82</v>
      </c>
      <c r="B44" s="55"/>
      <c r="C44" s="1"/>
      <c r="D44" s="25"/>
      <c r="E44" s="25"/>
      <c r="F44" s="64"/>
      <c r="G44" s="36"/>
      <c r="H44" s="36"/>
    </row>
    <row r="45" spans="1:8" x14ac:dyDescent="0.45">
      <c r="A45" s="12">
        <v>0</v>
      </c>
      <c r="B45" s="55"/>
      <c r="D45" s="25"/>
      <c r="E45" s="25"/>
      <c r="F45" s="64"/>
      <c r="G45" s="36"/>
      <c r="H45" s="36"/>
    </row>
    <row r="46" spans="1:8" x14ac:dyDescent="0.45">
      <c r="A46" s="5"/>
      <c r="B46" s="19"/>
      <c r="D46" s="25"/>
      <c r="E46" s="25"/>
      <c r="F46" s="64"/>
      <c r="G46" s="36"/>
      <c r="H46" s="36"/>
    </row>
    <row r="47" spans="1:8" ht="15" x14ac:dyDescent="0.5">
      <c r="A47" s="4" t="s">
        <v>83</v>
      </c>
      <c r="B47" s="55"/>
      <c r="D47" s="25"/>
      <c r="E47" s="25"/>
      <c r="F47" s="64"/>
      <c r="G47" s="36"/>
      <c r="H47" s="36"/>
    </row>
    <row r="48" spans="1:8" x14ac:dyDescent="0.45">
      <c r="A48" s="12">
        <v>0</v>
      </c>
      <c r="B48" s="55"/>
      <c r="D48" s="25"/>
      <c r="E48" s="25"/>
      <c r="F48" s="64"/>
      <c r="G48" s="36"/>
      <c r="H48" s="36"/>
    </row>
    <row r="49" spans="1:25" x14ac:dyDescent="0.45">
      <c r="A49" s="12"/>
      <c r="B49" s="55"/>
      <c r="D49" s="25"/>
      <c r="E49" s="25"/>
      <c r="F49" s="64"/>
      <c r="G49" s="36"/>
      <c r="H49" s="36"/>
    </row>
    <row r="50" spans="1:25" ht="15" x14ac:dyDescent="0.5">
      <c r="A50" s="4" t="s">
        <v>84</v>
      </c>
      <c r="B50" s="55"/>
      <c r="D50" s="25"/>
      <c r="E50" s="25"/>
      <c r="F50" s="64"/>
      <c r="G50" s="36"/>
      <c r="H50" s="36"/>
    </row>
    <row r="51" spans="1:25" x14ac:dyDescent="0.45">
      <c r="A51" s="12">
        <v>0</v>
      </c>
      <c r="B51" s="55"/>
      <c r="D51" s="25"/>
      <c r="E51" s="25"/>
      <c r="F51" s="64"/>
      <c r="G51" s="36"/>
      <c r="H51" s="36"/>
    </row>
    <row r="52" spans="1:25" x14ac:dyDescent="0.45">
      <c r="A52" s="12"/>
      <c r="B52" s="55"/>
      <c r="D52" s="25"/>
      <c r="E52" s="25"/>
      <c r="F52" s="64"/>
      <c r="G52" s="36"/>
      <c r="H52" s="36"/>
    </row>
    <row r="53" spans="1:25" ht="20.25" customHeight="1" x14ac:dyDescent="0.45">
      <c r="A53" s="139" t="s">
        <v>400</v>
      </c>
      <c r="B53" s="173"/>
      <c r="C53" s="170"/>
      <c r="D53" s="170"/>
      <c r="E53" s="170"/>
      <c r="F53" s="36"/>
      <c r="G53" s="3"/>
      <c r="P53" s="41"/>
      <c r="U53" s="170"/>
      <c r="V53"/>
      <c r="W53" s="42"/>
      <c r="Y53" s="41"/>
    </row>
    <row r="54" spans="1:25" x14ac:dyDescent="0.45">
      <c r="A54" s="12"/>
      <c r="B54" s="55"/>
    </row>
    <row r="55" spans="1:25" ht="15" x14ac:dyDescent="0.5">
      <c r="A55" s="4" t="s">
        <v>16</v>
      </c>
      <c r="B55" s="55"/>
    </row>
    <row r="56" spans="1:25" x14ac:dyDescent="0.45">
      <c r="A56" s="7">
        <f>Main!$G$115</f>
        <v>0</v>
      </c>
      <c r="B56" s="55"/>
    </row>
    <row r="57" spans="1:25" x14ac:dyDescent="0.45">
      <c r="A57" s="12"/>
      <c r="B57" s="55"/>
    </row>
    <row r="58" spans="1:25" ht="15" x14ac:dyDescent="0.5">
      <c r="A58" s="10" t="s">
        <v>85</v>
      </c>
      <c r="B58" s="55"/>
    </row>
    <row r="59" spans="1:25" x14ac:dyDescent="0.45">
      <c r="A59" s="7">
        <f>Main!$G$110</f>
        <v>0.40246584741378855</v>
      </c>
      <c r="B59" s="55"/>
    </row>
    <row r="60" spans="1:25" x14ac:dyDescent="0.45">
      <c r="A60" s="16"/>
      <c r="B60" s="55"/>
    </row>
    <row r="61" spans="1:25" x14ac:dyDescent="0.45">
      <c r="A61" s="17"/>
      <c r="B61" s="55"/>
    </row>
    <row r="68" spans="1:2" x14ac:dyDescent="0.45">
      <c r="A68" s="17"/>
      <c r="B68" s="55"/>
    </row>
    <row r="69" spans="1:2" x14ac:dyDescent="0.45">
      <c r="A69" s="17"/>
      <c r="B69" s="55"/>
    </row>
    <row r="70" spans="1:2" x14ac:dyDescent="0.45">
      <c r="A70" s="17"/>
      <c r="B70" s="55"/>
    </row>
    <row r="71" spans="1:2" x14ac:dyDescent="0.45">
      <c r="A71" s="17"/>
      <c r="B71" s="55"/>
    </row>
    <row r="72" spans="1:2" x14ac:dyDescent="0.45">
      <c r="A72" s="17"/>
      <c r="B72" s="55"/>
    </row>
    <row r="73" spans="1:2" x14ac:dyDescent="0.45">
      <c r="A73" s="17"/>
      <c r="B73" s="55"/>
    </row>
    <row r="74" spans="1:2" x14ac:dyDescent="0.45">
      <c r="A74" s="17"/>
      <c r="B74" s="55"/>
    </row>
    <row r="75" spans="1:2" ht="15.4" x14ac:dyDescent="0.45">
      <c r="A75" s="18"/>
      <c r="B75" s="55"/>
    </row>
    <row r="76" spans="1:2" x14ac:dyDescent="0.45">
      <c r="A76" s="17"/>
      <c r="B76" s="55"/>
    </row>
    <row r="77" spans="1:2" x14ac:dyDescent="0.45">
      <c r="A77" s="17"/>
      <c r="B77" s="56"/>
    </row>
    <row r="78" spans="1:2" x14ac:dyDescent="0.45">
      <c r="A78" s="17"/>
      <c r="B78" s="55"/>
    </row>
    <row r="79" spans="1:2" x14ac:dyDescent="0.45">
      <c r="A79" s="17"/>
      <c r="B79" s="56"/>
    </row>
    <row r="80" spans="1:2" x14ac:dyDescent="0.45">
      <c r="A80" s="17"/>
      <c r="B80" s="55"/>
    </row>
    <row r="81" spans="1:2" x14ac:dyDescent="0.45">
      <c r="A81" s="17"/>
      <c r="B81" s="56"/>
    </row>
    <row r="82" spans="1:2" x14ac:dyDescent="0.45">
      <c r="A82" s="17"/>
      <c r="B82" s="56"/>
    </row>
    <row r="83" spans="1:2" x14ac:dyDescent="0.45">
      <c r="A83" s="17"/>
      <c r="B83" s="56"/>
    </row>
    <row r="84" spans="1:2" x14ac:dyDescent="0.45">
      <c r="B84" s="56"/>
    </row>
    <row r="85" spans="1:2" x14ac:dyDescent="0.45">
      <c r="B85" s="56"/>
    </row>
    <row r="86" spans="1:2" x14ac:dyDescent="0.45">
      <c r="B86" s="55"/>
    </row>
  </sheetData>
  <sheetProtection password="EDF4" sheet="1" objects="1" scenarios="1"/>
  <mergeCells count="3">
    <mergeCell ref="U4:V4"/>
    <mergeCell ref="C6:C26"/>
    <mergeCell ref="E4:T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AT31"/>
  <sheetViews>
    <sheetView workbookViewId="0">
      <selection sqref="A1:XFD1048576"/>
    </sheetView>
  </sheetViews>
  <sheetFormatPr defaultColWidth="8.86328125" defaultRowHeight="14.25" x14ac:dyDescent="0.45"/>
  <cols>
    <col min="1" max="1" width="9.265625" style="49" bestFit="1" customWidth="1"/>
    <col min="2" max="7" width="9.265625" style="61" bestFit="1" customWidth="1"/>
    <col min="8" max="18" width="9.265625" style="59" bestFit="1" customWidth="1"/>
    <col min="19" max="21" width="9.265625" style="61" bestFit="1" customWidth="1"/>
    <col min="22" max="25" width="9.265625" style="49" bestFit="1" customWidth="1"/>
    <col min="26" max="26" width="9.265625" style="60" bestFit="1" customWidth="1"/>
    <col min="27" max="28" width="9.265625" style="49" bestFit="1" customWidth="1"/>
    <col min="29" max="29" width="9.265625" style="60" bestFit="1" customWidth="1"/>
    <col min="30" max="31" width="9.265625" style="59" bestFit="1" customWidth="1"/>
    <col min="32" max="34" width="9.265625" style="49" bestFit="1" customWidth="1"/>
    <col min="35" max="35" width="9.1328125" style="49" customWidth="1"/>
    <col min="36" max="40" width="9.265625" style="49" bestFit="1" customWidth="1"/>
    <col min="41" max="41" width="9.265625" style="49" customWidth="1"/>
    <col min="42" max="46" width="9.265625" style="49" bestFit="1" customWidth="1"/>
    <col min="292" max="292" width="9.1328125" customWidth="1"/>
    <col min="548" max="548" width="9.1328125" customWidth="1"/>
    <col min="804" max="804" width="9.1328125" customWidth="1"/>
    <col min="1060" max="1060" width="9.1328125" customWidth="1"/>
    <col min="1316" max="1316" width="9.1328125" customWidth="1"/>
    <col min="1572" max="1572" width="9.1328125" customWidth="1"/>
    <col min="1828" max="1828" width="9.1328125" customWidth="1"/>
    <col min="2084" max="2084" width="9.1328125" customWidth="1"/>
    <col min="2340" max="2340" width="9.1328125" customWidth="1"/>
    <col min="2596" max="2596" width="9.1328125" customWidth="1"/>
    <col min="2852" max="2852" width="9.1328125" customWidth="1"/>
    <col min="3108" max="3108" width="9.1328125" customWidth="1"/>
    <col min="3364" max="3364" width="9.1328125" customWidth="1"/>
    <col min="3620" max="3620" width="9.1328125" customWidth="1"/>
    <col min="3876" max="3876" width="9.1328125" customWidth="1"/>
    <col min="4132" max="4132" width="9.1328125" customWidth="1"/>
    <col min="4388" max="4388" width="9.1328125" customWidth="1"/>
    <col min="4644" max="4644" width="9.1328125" customWidth="1"/>
    <col min="4900" max="4900" width="9.1328125" customWidth="1"/>
    <col min="5156" max="5156" width="9.1328125" customWidth="1"/>
    <col min="5412" max="5412" width="9.1328125" customWidth="1"/>
    <col min="5668" max="5668" width="9.1328125" customWidth="1"/>
    <col min="5924" max="5924" width="9.1328125" customWidth="1"/>
    <col min="6180" max="6180" width="9.1328125" customWidth="1"/>
    <col min="6436" max="6436" width="9.1328125" customWidth="1"/>
    <col min="6692" max="6692" width="9.1328125" customWidth="1"/>
    <col min="6948" max="6948" width="9.1328125" customWidth="1"/>
    <col min="7204" max="7204" width="9.1328125" customWidth="1"/>
    <col min="7460" max="7460" width="9.1328125" customWidth="1"/>
    <col min="7716" max="7716" width="9.1328125" customWidth="1"/>
    <col min="7972" max="7972" width="9.1328125" customWidth="1"/>
    <col min="8228" max="8228" width="9.1328125" customWidth="1"/>
    <col min="8484" max="8484" width="9.1328125" customWidth="1"/>
    <col min="8740" max="8740" width="9.1328125" customWidth="1"/>
    <col min="8996" max="8996" width="9.1328125" customWidth="1"/>
    <col min="9252" max="9252" width="9.1328125" customWidth="1"/>
    <col min="9508" max="9508" width="9.1328125" customWidth="1"/>
    <col min="9764" max="9764" width="9.1328125" customWidth="1"/>
    <col min="10020" max="10020" width="9.1328125" customWidth="1"/>
    <col min="10276" max="10276" width="9.1328125" customWidth="1"/>
    <col min="10532" max="10532" width="9.1328125" customWidth="1"/>
    <col min="10788" max="10788" width="9.1328125" customWidth="1"/>
    <col min="11044" max="11044" width="9.1328125" customWidth="1"/>
    <col min="11300" max="11300" width="9.1328125" customWidth="1"/>
    <col min="11556" max="11556" width="9.1328125" customWidth="1"/>
    <col min="11812" max="11812" width="9.1328125" customWidth="1"/>
    <col min="12068" max="12068" width="9.1328125" customWidth="1"/>
    <col min="12324" max="12324" width="9.1328125" customWidth="1"/>
    <col min="12580" max="12580" width="9.1328125" customWidth="1"/>
    <col min="12836" max="12836" width="9.1328125" customWidth="1"/>
    <col min="13092" max="13092" width="9.1328125" customWidth="1"/>
    <col min="13348" max="13348" width="9.1328125" customWidth="1"/>
    <col min="13604" max="13604" width="9.1328125" customWidth="1"/>
    <col min="13860" max="13860" width="9.1328125" customWidth="1"/>
    <col min="14116" max="14116" width="9.1328125" customWidth="1"/>
    <col min="14372" max="14372" width="9.1328125" customWidth="1"/>
    <col min="14628" max="14628" width="9.1328125" customWidth="1"/>
    <col min="14884" max="14884" width="9.1328125" customWidth="1"/>
    <col min="15140" max="15140" width="9.1328125" customWidth="1"/>
    <col min="15396" max="15396" width="9.1328125" customWidth="1"/>
    <col min="15652" max="15652" width="9.1328125" customWidth="1"/>
    <col min="15908" max="15908" width="9.1328125" customWidth="1"/>
    <col min="16164" max="16164" width="9.1328125" customWidth="1"/>
  </cols>
  <sheetData>
    <row r="1" spans="1:46" ht="15.75" customHeight="1" x14ac:dyDescent="0.45">
      <c r="A1" s="57" t="s">
        <v>602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</row>
    <row r="2" spans="1:46" s="51" customFormat="1" ht="15.75" customHeight="1" x14ac:dyDescent="0.4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</row>
    <row r="3" spans="1:46" s="50" customFormat="1" ht="15.75" customHeight="1" x14ac:dyDescent="0.45">
      <c r="A3" s="46" t="s">
        <v>21</v>
      </c>
      <c r="B3" s="44" t="s">
        <v>38</v>
      </c>
      <c r="C3" s="43" t="s">
        <v>40</v>
      </c>
      <c r="D3" s="43" t="s">
        <v>114</v>
      </c>
      <c r="E3" s="46" t="s">
        <v>115</v>
      </c>
      <c r="F3" s="43" t="s">
        <v>44</v>
      </c>
      <c r="G3" s="43" t="s">
        <v>116</v>
      </c>
      <c r="H3" s="122" t="s">
        <v>37</v>
      </c>
      <c r="I3" s="122" t="s">
        <v>117</v>
      </c>
      <c r="J3" s="122" t="s">
        <v>118</v>
      </c>
      <c r="K3" s="122" t="s">
        <v>119</v>
      </c>
      <c r="L3" s="122" t="s">
        <v>120</v>
      </c>
      <c r="M3" s="122" t="s">
        <v>121</v>
      </c>
      <c r="N3" s="122" t="s">
        <v>122</v>
      </c>
      <c r="O3" s="122" t="s">
        <v>39</v>
      </c>
      <c r="P3" s="122" t="s">
        <v>41</v>
      </c>
      <c r="Q3" s="122" t="s">
        <v>123</v>
      </c>
      <c r="R3" s="122" t="s">
        <v>42</v>
      </c>
      <c r="S3" s="122" t="s">
        <v>43</v>
      </c>
      <c r="T3" s="122" t="s">
        <v>124</v>
      </c>
      <c r="U3" s="43" t="s">
        <v>125</v>
      </c>
      <c r="V3" s="122" t="s">
        <v>45</v>
      </c>
      <c r="W3" s="122" t="s">
        <v>126</v>
      </c>
      <c r="X3" s="122" t="s">
        <v>127</v>
      </c>
      <c r="Y3" s="122" t="s">
        <v>47</v>
      </c>
      <c r="Z3" s="43" t="s">
        <v>128</v>
      </c>
      <c r="AA3" s="211" t="s">
        <v>129</v>
      </c>
      <c r="AB3" s="211" t="s">
        <v>130</v>
      </c>
      <c r="AC3" s="43" t="s">
        <v>131</v>
      </c>
      <c r="AD3" s="212" t="s">
        <v>132</v>
      </c>
      <c r="AE3" s="212" t="s">
        <v>133</v>
      </c>
      <c r="AF3" s="213" t="s">
        <v>134</v>
      </c>
      <c r="AG3" s="213" t="s">
        <v>135</v>
      </c>
      <c r="AH3" s="213" t="s">
        <v>136</v>
      </c>
      <c r="AI3" s="213" t="s">
        <v>137</v>
      </c>
      <c r="AJ3" s="213" t="s">
        <v>138</v>
      </c>
      <c r="AK3" s="213" t="s">
        <v>139</v>
      </c>
      <c r="AL3" s="213" t="s">
        <v>140</v>
      </c>
      <c r="AM3" s="213" t="s">
        <v>141</v>
      </c>
      <c r="AN3" s="213" t="s">
        <v>142</v>
      </c>
      <c r="AO3" s="213" t="s">
        <v>278</v>
      </c>
      <c r="AP3" s="213" t="s">
        <v>143</v>
      </c>
      <c r="AQ3" s="213" t="s">
        <v>144</v>
      </c>
      <c r="AR3" s="212" t="s">
        <v>145</v>
      </c>
      <c r="AS3" s="213" t="s">
        <v>146</v>
      </c>
      <c r="AT3" s="213" t="s">
        <v>147</v>
      </c>
    </row>
    <row r="4" spans="1:46" ht="15.75" customHeight="1" x14ac:dyDescent="0.45"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Z4" s="49"/>
      <c r="AC4" s="49"/>
      <c r="AD4" s="49"/>
      <c r="AE4" s="49"/>
    </row>
    <row r="5" spans="1:46" ht="15.75" customHeight="1" x14ac:dyDescent="0.45">
      <c r="A5" s="49">
        <v>0.01</v>
      </c>
      <c r="B5" s="60">
        <v>1.06</v>
      </c>
      <c r="C5" s="108">
        <v>-2.1</v>
      </c>
      <c r="D5" s="108">
        <v>-0.5</v>
      </c>
      <c r="E5" s="49">
        <v>50</v>
      </c>
      <c r="F5" s="59">
        <v>0</v>
      </c>
      <c r="G5" s="59">
        <v>0.26950000000000002</v>
      </c>
      <c r="H5" s="59">
        <v>-1.5065</v>
      </c>
      <c r="I5" s="59">
        <v>0.16500000000000001</v>
      </c>
      <c r="J5" s="59">
        <v>-0.255</v>
      </c>
      <c r="K5" s="59">
        <v>-0.16500000000000001</v>
      </c>
      <c r="L5" s="59">
        <v>0.255</v>
      </c>
      <c r="M5" s="59">
        <v>16.087499999999999</v>
      </c>
      <c r="N5" s="59">
        <v>4.9992999999999999</v>
      </c>
      <c r="O5" s="59">
        <v>1.9636</v>
      </c>
      <c r="P5" s="59">
        <v>6.4550999999999998</v>
      </c>
      <c r="Q5" s="59">
        <v>3.0956000000000001</v>
      </c>
      <c r="R5" s="59">
        <v>0.49080000000000001</v>
      </c>
      <c r="S5" s="59">
        <v>3.5200000000000002E-2</v>
      </c>
      <c r="T5" s="59">
        <v>4.6199999999999998E-2</v>
      </c>
      <c r="U5" s="59">
        <v>0.48330000000000001</v>
      </c>
      <c r="V5" s="59">
        <v>0.92279999999999995</v>
      </c>
      <c r="W5" s="59">
        <v>0.1202</v>
      </c>
      <c r="X5" s="59">
        <v>6.8606999999999996</v>
      </c>
      <c r="Y5" s="59">
        <v>0</v>
      </c>
      <c r="Z5" s="59">
        <v>-0.4536</v>
      </c>
      <c r="AA5" s="248">
        <v>-7.1459999999999996E-3</v>
      </c>
      <c r="AB5" s="248">
        <v>-6.7580000000000001E-3</v>
      </c>
      <c r="AC5" s="59">
        <v>4.2542</v>
      </c>
      <c r="AD5" s="59">
        <v>-0.52100000000000002</v>
      </c>
      <c r="AE5" s="59">
        <v>-0.14169999999999999</v>
      </c>
      <c r="AF5" s="248">
        <v>-7.0099999999999997E-3</v>
      </c>
      <c r="AG5" s="248">
        <v>0.10215100000000001</v>
      </c>
      <c r="AH5" s="59">
        <v>0</v>
      </c>
      <c r="AI5" s="49">
        <v>300</v>
      </c>
      <c r="AJ5" s="59">
        <v>0.4</v>
      </c>
      <c r="AK5" s="59">
        <v>0.26</v>
      </c>
      <c r="AL5" s="59">
        <v>0.49120000000000003</v>
      </c>
      <c r="AM5" s="59">
        <v>0.37619999999999998</v>
      </c>
      <c r="AN5" s="59">
        <v>0.8</v>
      </c>
      <c r="AO5" s="49">
        <v>0.45279999999999998</v>
      </c>
      <c r="AP5" s="59">
        <v>1.5817000000000001</v>
      </c>
      <c r="AQ5" s="59">
        <v>0.75939999999999996</v>
      </c>
      <c r="AR5" s="59">
        <v>-0.68459999999999999</v>
      </c>
      <c r="AS5" s="59">
        <v>0.45900000000000002</v>
      </c>
      <c r="AT5" s="49">
        <v>800</v>
      </c>
    </row>
    <row r="6" spans="1:46" ht="15.75" customHeight="1" x14ac:dyDescent="0.45">
      <c r="A6" s="49">
        <v>0.02</v>
      </c>
      <c r="B6" s="60">
        <v>1.06</v>
      </c>
      <c r="C6" s="108">
        <v>-2.1</v>
      </c>
      <c r="D6" s="108">
        <v>-0.5</v>
      </c>
      <c r="E6" s="49">
        <v>50</v>
      </c>
      <c r="F6" s="59">
        <v>0</v>
      </c>
      <c r="G6" s="59">
        <v>0.26950000000000002</v>
      </c>
      <c r="H6" s="59">
        <v>-1.4798</v>
      </c>
      <c r="I6" s="59">
        <v>0.16500000000000001</v>
      </c>
      <c r="J6" s="59">
        <v>-0.255</v>
      </c>
      <c r="K6" s="59">
        <v>-0.16500000000000001</v>
      </c>
      <c r="L6" s="59">
        <v>0.255</v>
      </c>
      <c r="M6" s="59">
        <v>15.7118</v>
      </c>
      <c r="N6" s="59">
        <v>4.9992999999999999</v>
      </c>
      <c r="O6" s="59">
        <v>1.9636</v>
      </c>
      <c r="P6" s="59">
        <v>6.4550999999999998</v>
      </c>
      <c r="Q6" s="59">
        <v>3.0962999999999998</v>
      </c>
      <c r="R6" s="59">
        <v>0.49249999999999999</v>
      </c>
      <c r="S6" s="59">
        <v>3.5200000000000002E-2</v>
      </c>
      <c r="T6" s="59">
        <v>4.7199999999999999E-2</v>
      </c>
      <c r="U6" s="59">
        <v>1.2143999999999999</v>
      </c>
      <c r="V6" s="59">
        <v>0.92959999999999998</v>
      </c>
      <c r="W6" s="59">
        <v>0.1217</v>
      </c>
      <c r="X6" s="59">
        <v>6.8696999999999999</v>
      </c>
      <c r="Y6" s="59">
        <v>0</v>
      </c>
      <c r="Z6" s="59">
        <v>-0.4536</v>
      </c>
      <c r="AA6" s="248">
        <v>-7.2490000000000002E-3</v>
      </c>
      <c r="AB6" s="248">
        <v>-6.7580000000000001E-3</v>
      </c>
      <c r="AC6" s="59">
        <v>4.2385999999999999</v>
      </c>
      <c r="AD6" s="59">
        <v>-0.50549999999999995</v>
      </c>
      <c r="AE6" s="59">
        <v>-0.13639999999999999</v>
      </c>
      <c r="AF6" s="248">
        <v>-7.2789999999999999E-3</v>
      </c>
      <c r="AG6" s="248">
        <v>0.10836</v>
      </c>
      <c r="AH6" s="59">
        <v>0</v>
      </c>
      <c r="AI6" s="49">
        <v>300</v>
      </c>
      <c r="AJ6" s="59">
        <v>0.40260000000000001</v>
      </c>
      <c r="AK6" s="59">
        <v>0.26369999999999999</v>
      </c>
      <c r="AL6" s="59">
        <v>0.4904</v>
      </c>
      <c r="AM6" s="59">
        <v>0.37619999999999998</v>
      </c>
      <c r="AN6" s="59">
        <v>0.8</v>
      </c>
      <c r="AO6" s="49">
        <v>0.4551</v>
      </c>
      <c r="AP6" s="59">
        <v>1.5740000000000001</v>
      </c>
      <c r="AQ6" s="59">
        <v>0.76060000000000005</v>
      </c>
      <c r="AR6" s="59">
        <v>-0.66810000000000003</v>
      </c>
      <c r="AS6" s="59">
        <v>0.45800000000000002</v>
      </c>
      <c r="AT6" s="49">
        <v>800</v>
      </c>
    </row>
    <row r="7" spans="1:46" ht="15.75" customHeight="1" x14ac:dyDescent="0.45">
      <c r="A7" s="49">
        <v>0.03</v>
      </c>
      <c r="B7" s="60">
        <v>1.06</v>
      </c>
      <c r="C7" s="108">
        <v>-2.1</v>
      </c>
      <c r="D7" s="108">
        <v>-0.5</v>
      </c>
      <c r="E7" s="49">
        <v>50</v>
      </c>
      <c r="F7" s="59">
        <v>0</v>
      </c>
      <c r="G7" s="59">
        <v>0.26950000000000002</v>
      </c>
      <c r="H7" s="59">
        <v>-1.2971999999999999</v>
      </c>
      <c r="I7" s="59">
        <v>0.16500000000000001</v>
      </c>
      <c r="J7" s="59">
        <v>-0.255</v>
      </c>
      <c r="K7" s="59">
        <v>-0.16500000000000001</v>
      </c>
      <c r="L7" s="59">
        <v>0.255</v>
      </c>
      <c r="M7" s="59">
        <v>15.8819</v>
      </c>
      <c r="N7" s="59">
        <v>4.9992999999999999</v>
      </c>
      <c r="O7" s="59">
        <v>1.9636</v>
      </c>
      <c r="P7" s="59">
        <v>6.4550999999999998</v>
      </c>
      <c r="Q7" s="59">
        <v>3.0973999999999999</v>
      </c>
      <c r="R7" s="59">
        <v>0.49919999999999998</v>
      </c>
      <c r="S7" s="59">
        <v>3.5200000000000002E-2</v>
      </c>
      <c r="T7" s="59">
        <v>5.33E-2</v>
      </c>
      <c r="U7" s="59">
        <v>1.6420999999999999</v>
      </c>
      <c r="V7" s="59">
        <v>0.93959999999999999</v>
      </c>
      <c r="W7" s="59">
        <v>0.11940000000000001</v>
      </c>
      <c r="X7" s="59">
        <v>6.9112999999999998</v>
      </c>
      <c r="Y7" s="59">
        <v>0</v>
      </c>
      <c r="Z7" s="59">
        <v>-0.4536</v>
      </c>
      <c r="AA7" s="248">
        <v>-7.8689999999999993E-3</v>
      </c>
      <c r="AB7" s="248">
        <v>-6.7580000000000001E-3</v>
      </c>
      <c r="AC7" s="59">
        <v>4.2519</v>
      </c>
      <c r="AD7" s="59">
        <v>-0.43680000000000002</v>
      </c>
      <c r="AE7" s="59">
        <v>-0.14030000000000001</v>
      </c>
      <c r="AF7" s="248">
        <v>-7.3540000000000003E-3</v>
      </c>
      <c r="AG7" s="248">
        <v>0.11988799999999999</v>
      </c>
      <c r="AH7" s="59">
        <v>0</v>
      </c>
      <c r="AI7" s="49">
        <v>300</v>
      </c>
      <c r="AJ7" s="59">
        <v>0.40629999999999999</v>
      </c>
      <c r="AK7" s="59">
        <v>0.26889999999999997</v>
      </c>
      <c r="AL7" s="59">
        <v>0.49880000000000002</v>
      </c>
      <c r="AM7" s="59">
        <v>0.38490000000000002</v>
      </c>
      <c r="AN7" s="59">
        <v>0.8</v>
      </c>
      <c r="AO7" s="49">
        <v>0.45710000000000001</v>
      </c>
      <c r="AP7" s="59">
        <v>1.5544</v>
      </c>
      <c r="AQ7" s="59">
        <v>0.76419999999999999</v>
      </c>
      <c r="AR7" s="59">
        <v>-0.63139999999999996</v>
      </c>
      <c r="AS7" s="59">
        <v>0.46200000000000002</v>
      </c>
      <c r="AT7" s="49">
        <v>800</v>
      </c>
    </row>
    <row r="8" spans="1:46" ht="15.75" customHeight="1" x14ac:dyDescent="0.45">
      <c r="A8" s="49">
        <v>0.04</v>
      </c>
      <c r="B8" s="60">
        <v>1.06</v>
      </c>
      <c r="C8" s="108">
        <v>-2.1</v>
      </c>
      <c r="D8" s="108">
        <v>-0.5</v>
      </c>
      <c r="E8" s="49">
        <v>50</v>
      </c>
      <c r="F8" s="59">
        <v>0</v>
      </c>
      <c r="G8" s="59">
        <v>0.26950000000000002</v>
      </c>
      <c r="H8" s="59">
        <v>-1.1007</v>
      </c>
      <c r="I8" s="59">
        <v>0.16500000000000001</v>
      </c>
      <c r="J8" s="59">
        <v>-0.255</v>
      </c>
      <c r="K8" s="59">
        <v>-0.16500000000000001</v>
      </c>
      <c r="L8" s="59">
        <v>0.255</v>
      </c>
      <c r="M8" s="59">
        <v>16.4556</v>
      </c>
      <c r="N8" s="59">
        <v>4.9992999999999999</v>
      </c>
      <c r="O8" s="59">
        <v>1.9636</v>
      </c>
      <c r="P8" s="59">
        <v>6.4550999999999998</v>
      </c>
      <c r="Q8" s="59">
        <v>3.0988000000000002</v>
      </c>
      <c r="R8" s="59">
        <v>0.50370000000000004</v>
      </c>
      <c r="S8" s="59">
        <v>3.5200000000000002E-2</v>
      </c>
      <c r="T8" s="59">
        <v>5.96E-2</v>
      </c>
      <c r="U8" s="59">
        <v>1.9456</v>
      </c>
      <c r="V8" s="59">
        <v>0.96609999999999996</v>
      </c>
      <c r="W8" s="59">
        <v>0.1166</v>
      </c>
      <c r="X8" s="59">
        <v>7.0270999999999999</v>
      </c>
      <c r="Y8" s="59">
        <v>0</v>
      </c>
      <c r="Z8" s="59">
        <v>-0.4536</v>
      </c>
      <c r="AA8" s="248">
        <v>-8.3160000000000005E-3</v>
      </c>
      <c r="AB8" s="248">
        <v>-6.7580000000000001E-3</v>
      </c>
      <c r="AC8" s="59">
        <v>4.2960000000000003</v>
      </c>
      <c r="AD8" s="59">
        <v>-0.37519999999999998</v>
      </c>
      <c r="AE8" s="59">
        <v>-0.15909999999999999</v>
      </c>
      <c r="AF8" s="248">
        <v>-6.9769999999999997E-3</v>
      </c>
      <c r="AG8" s="248">
        <v>0.13364100000000001</v>
      </c>
      <c r="AH8" s="59">
        <v>0</v>
      </c>
      <c r="AI8" s="49">
        <v>300</v>
      </c>
      <c r="AJ8" s="59">
        <v>0.40949999999999998</v>
      </c>
      <c r="AK8" s="59">
        <v>0.27360000000000001</v>
      </c>
      <c r="AL8" s="59">
        <v>0.50490000000000002</v>
      </c>
      <c r="AM8" s="59">
        <v>0.39100000000000001</v>
      </c>
      <c r="AN8" s="59">
        <v>0.8</v>
      </c>
      <c r="AO8" s="49">
        <v>0.4642</v>
      </c>
      <c r="AP8" s="59">
        <v>1.5502</v>
      </c>
      <c r="AQ8" s="59">
        <v>0.76759999999999995</v>
      </c>
      <c r="AR8" s="59">
        <v>-0.58550000000000002</v>
      </c>
      <c r="AS8" s="59">
        <v>0.45300000000000001</v>
      </c>
      <c r="AT8" s="49">
        <v>800</v>
      </c>
    </row>
    <row r="9" spans="1:46" ht="15.75" customHeight="1" x14ac:dyDescent="0.45">
      <c r="A9" s="49">
        <v>0.05</v>
      </c>
      <c r="B9" s="60">
        <v>1.06</v>
      </c>
      <c r="C9" s="108">
        <v>-2.1</v>
      </c>
      <c r="D9" s="108">
        <v>-0.5</v>
      </c>
      <c r="E9" s="49">
        <v>50</v>
      </c>
      <c r="F9" s="59">
        <v>0</v>
      </c>
      <c r="G9" s="59">
        <v>0.26950000000000002</v>
      </c>
      <c r="H9" s="59">
        <v>-0.92920000000000003</v>
      </c>
      <c r="I9" s="59">
        <v>0.16500000000000001</v>
      </c>
      <c r="J9" s="59">
        <v>-0.255</v>
      </c>
      <c r="K9" s="59">
        <v>-0.16500000000000001</v>
      </c>
      <c r="L9" s="59">
        <v>0.255</v>
      </c>
      <c r="M9" s="59">
        <v>17.645299999999999</v>
      </c>
      <c r="N9" s="59">
        <v>4.9992999999999999</v>
      </c>
      <c r="O9" s="59">
        <v>1.9636</v>
      </c>
      <c r="P9" s="59">
        <v>6.4550999999999998</v>
      </c>
      <c r="Q9" s="59">
        <v>3.1011000000000002</v>
      </c>
      <c r="R9" s="59">
        <v>0.50480000000000003</v>
      </c>
      <c r="S9" s="59">
        <v>3.5200000000000002E-2</v>
      </c>
      <c r="T9" s="59">
        <v>6.3899999999999998E-2</v>
      </c>
      <c r="U9" s="59">
        <v>2.181</v>
      </c>
      <c r="V9" s="59">
        <v>0.97940000000000005</v>
      </c>
      <c r="W9" s="59">
        <v>0.1176</v>
      </c>
      <c r="X9" s="59">
        <v>7.0959000000000003</v>
      </c>
      <c r="Y9" s="59">
        <v>0</v>
      </c>
      <c r="Z9" s="59">
        <v>-0.4536</v>
      </c>
      <c r="AA9" s="248">
        <v>-8.7430000000000008E-3</v>
      </c>
      <c r="AB9" s="248">
        <v>-6.7580000000000001E-3</v>
      </c>
      <c r="AC9" s="59">
        <v>4.3578000000000001</v>
      </c>
      <c r="AD9" s="59">
        <v>-0.34689999999999999</v>
      </c>
      <c r="AE9" s="59">
        <v>-0.1862</v>
      </c>
      <c r="AF9" s="248">
        <v>-6.4669999999999997E-3</v>
      </c>
      <c r="AG9" s="248">
        <v>0.148927</v>
      </c>
      <c r="AH9" s="59">
        <v>0</v>
      </c>
      <c r="AI9" s="49">
        <v>300</v>
      </c>
      <c r="AJ9" s="59">
        <v>0.41239999999999999</v>
      </c>
      <c r="AK9" s="59">
        <v>0.2777</v>
      </c>
      <c r="AL9" s="59">
        <v>0.50960000000000005</v>
      </c>
      <c r="AM9" s="59">
        <v>0.3957</v>
      </c>
      <c r="AN9" s="59">
        <v>0.8</v>
      </c>
      <c r="AO9" s="49">
        <v>0.47160000000000002</v>
      </c>
      <c r="AP9" s="59">
        <v>1.5390999999999999</v>
      </c>
      <c r="AQ9" s="59">
        <v>0.77390000000000003</v>
      </c>
      <c r="AR9" s="59">
        <v>-0.54569999999999996</v>
      </c>
      <c r="AS9" s="59">
        <v>0.436</v>
      </c>
      <c r="AT9" s="49">
        <v>800</v>
      </c>
    </row>
    <row r="10" spans="1:46" ht="15.75" customHeight="1" x14ac:dyDescent="0.45">
      <c r="A10" s="49">
        <v>7.4999999999999997E-2</v>
      </c>
      <c r="B10" s="60">
        <v>1.06</v>
      </c>
      <c r="C10" s="108">
        <v>-2.1</v>
      </c>
      <c r="D10" s="108">
        <v>-0.5</v>
      </c>
      <c r="E10" s="49">
        <v>50</v>
      </c>
      <c r="F10" s="59">
        <v>0</v>
      </c>
      <c r="G10" s="59">
        <v>0.26950000000000002</v>
      </c>
      <c r="H10" s="59">
        <v>-0.65800000000000003</v>
      </c>
      <c r="I10" s="59">
        <v>0.16500000000000001</v>
      </c>
      <c r="J10" s="59">
        <v>-0.254</v>
      </c>
      <c r="K10" s="59">
        <v>-0.16500000000000001</v>
      </c>
      <c r="L10" s="59">
        <v>0.254</v>
      </c>
      <c r="M10" s="59">
        <v>20.177199999999999</v>
      </c>
      <c r="N10" s="59">
        <v>5.0030999999999999</v>
      </c>
      <c r="O10" s="59">
        <v>1.9636</v>
      </c>
      <c r="P10" s="59">
        <v>6.4550999999999998</v>
      </c>
      <c r="Q10" s="59">
        <v>3.1093999999999999</v>
      </c>
      <c r="R10" s="59">
        <v>0.50480000000000003</v>
      </c>
      <c r="S10" s="59">
        <v>3.5200000000000002E-2</v>
      </c>
      <c r="T10" s="59">
        <v>6.3E-2</v>
      </c>
      <c r="U10" s="59">
        <v>2.6086999999999998</v>
      </c>
      <c r="V10" s="59">
        <v>1.026</v>
      </c>
      <c r="W10" s="59">
        <v>0.1171</v>
      </c>
      <c r="X10" s="59">
        <v>7.3297999999999996</v>
      </c>
      <c r="Y10" s="59">
        <v>0</v>
      </c>
      <c r="Z10" s="59">
        <v>-0.4536</v>
      </c>
      <c r="AA10" s="248">
        <v>-9.5370000000000003E-3</v>
      </c>
      <c r="AB10" s="248">
        <v>-6.1900000000000002E-3</v>
      </c>
      <c r="AC10" s="59">
        <v>4.5454999999999997</v>
      </c>
      <c r="AD10" s="59">
        <v>-0.37469999999999998</v>
      </c>
      <c r="AE10" s="59">
        <v>-0.25380000000000003</v>
      </c>
      <c r="AF10" s="248">
        <v>-5.7340000000000004E-3</v>
      </c>
      <c r="AG10" s="248">
        <v>0.19059599999999999</v>
      </c>
      <c r="AH10" s="59">
        <v>0</v>
      </c>
      <c r="AI10" s="49">
        <v>300</v>
      </c>
      <c r="AJ10" s="59">
        <v>0.41789999999999999</v>
      </c>
      <c r="AK10" s="59">
        <v>0.28549999999999998</v>
      </c>
      <c r="AL10" s="59">
        <v>0.51790000000000003</v>
      </c>
      <c r="AM10" s="59">
        <v>0.40429999999999999</v>
      </c>
      <c r="AN10" s="59">
        <v>0.8</v>
      </c>
      <c r="AO10" s="49">
        <v>0.50219999999999998</v>
      </c>
      <c r="AP10" s="59">
        <v>1.4803999999999999</v>
      </c>
      <c r="AQ10" s="59">
        <v>0.79559999999999997</v>
      </c>
      <c r="AR10" s="59">
        <v>-0.46850000000000003</v>
      </c>
      <c r="AS10" s="59">
        <v>0.38300000000000001</v>
      </c>
      <c r="AT10" s="49">
        <v>800</v>
      </c>
    </row>
    <row r="11" spans="1:46" ht="15.75" customHeight="1" x14ac:dyDescent="0.45">
      <c r="A11" s="49">
        <v>0.1</v>
      </c>
      <c r="B11" s="60">
        <v>1.06</v>
      </c>
      <c r="C11" s="108">
        <v>-2.1</v>
      </c>
      <c r="D11" s="108">
        <v>-0.5</v>
      </c>
      <c r="E11" s="49">
        <v>50</v>
      </c>
      <c r="F11" s="59">
        <v>0</v>
      </c>
      <c r="G11" s="59">
        <v>0.26950000000000002</v>
      </c>
      <c r="H11" s="59">
        <v>-0.56130000000000002</v>
      </c>
      <c r="I11" s="59">
        <v>0.16500000000000001</v>
      </c>
      <c r="J11" s="59">
        <v>-0.253</v>
      </c>
      <c r="K11" s="59">
        <v>-0.16500000000000001</v>
      </c>
      <c r="L11" s="59">
        <v>0.253</v>
      </c>
      <c r="M11" s="59">
        <v>19.999199999999998</v>
      </c>
      <c r="N11" s="59">
        <v>5.0171999999999999</v>
      </c>
      <c r="O11" s="59">
        <v>1.9636</v>
      </c>
      <c r="P11" s="59">
        <v>6.8304999999999998</v>
      </c>
      <c r="Q11" s="59">
        <v>3.2381000000000002</v>
      </c>
      <c r="R11" s="59">
        <v>0.50480000000000003</v>
      </c>
      <c r="S11" s="59">
        <v>3.5200000000000002E-2</v>
      </c>
      <c r="T11" s="59">
        <v>5.3199999999999997E-2</v>
      </c>
      <c r="U11" s="59">
        <v>2.9121999999999999</v>
      </c>
      <c r="V11" s="59">
        <v>1.0177</v>
      </c>
      <c r="W11" s="59">
        <v>0.11459999999999999</v>
      </c>
      <c r="X11" s="59">
        <v>7.2587999999999999</v>
      </c>
      <c r="Y11" s="59">
        <v>0</v>
      </c>
      <c r="Z11" s="59">
        <v>-0.4536</v>
      </c>
      <c r="AA11" s="248">
        <v>-9.8300000000000002E-3</v>
      </c>
      <c r="AB11" s="248">
        <v>-5.3319999999999999E-3</v>
      </c>
      <c r="AC11" s="59">
        <v>4.7603</v>
      </c>
      <c r="AD11" s="59">
        <v>-0.44400000000000001</v>
      </c>
      <c r="AE11" s="59">
        <v>-0.29430000000000001</v>
      </c>
      <c r="AF11" s="248">
        <v>-5.6039999999999996E-3</v>
      </c>
      <c r="AG11" s="248">
        <v>0.23066200000000001</v>
      </c>
      <c r="AH11" s="59">
        <v>0</v>
      </c>
      <c r="AI11" s="49">
        <v>300</v>
      </c>
      <c r="AJ11" s="59">
        <v>0.4219</v>
      </c>
      <c r="AK11" s="59">
        <v>0.2913</v>
      </c>
      <c r="AL11" s="59">
        <v>0.52359999999999995</v>
      </c>
      <c r="AM11" s="59">
        <v>0.41039999999999999</v>
      </c>
      <c r="AN11" s="59">
        <v>0.8</v>
      </c>
      <c r="AO11" s="49">
        <v>0.52300000000000002</v>
      </c>
      <c r="AP11" s="59">
        <v>1.4094</v>
      </c>
      <c r="AQ11" s="59">
        <v>0.79320000000000002</v>
      </c>
      <c r="AR11" s="59">
        <v>-0.4985</v>
      </c>
      <c r="AS11" s="59">
        <v>0.375</v>
      </c>
      <c r="AT11" s="49">
        <v>800</v>
      </c>
    </row>
    <row r="12" spans="1:46" ht="15.75" customHeight="1" x14ac:dyDescent="0.45">
      <c r="A12" s="49">
        <v>0.12</v>
      </c>
      <c r="B12" s="60">
        <v>1.06</v>
      </c>
      <c r="C12" s="108">
        <v>-2.1</v>
      </c>
      <c r="D12" s="108">
        <v>-0.5</v>
      </c>
      <c r="E12" s="49">
        <v>50</v>
      </c>
      <c r="F12" s="59">
        <v>0</v>
      </c>
      <c r="G12" s="59">
        <v>0.26950000000000002</v>
      </c>
      <c r="H12" s="59">
        <v>-0.53420000000000001</v>
      </c>
      <c r="I12" s="59">
        <v>0.16500000000000001</v>
      </c>
      <c r="J12" s="59">
        <v>-0.252</v>
      </c>
      <c r="K12" s="59">
        <v>-0.16500000000000001</v>
      </c>
      <c r="L12" s="59">
        <v>0.252</v>
      </c>
      <c r="M12" s="59">
        <v>18.710599999999999</v>
      </c>
      <c r="N12" s="59">
        <v>5.0315000000000003</v>
      </c>
      <c r="O12" s="59">
        <v>1.9795</v>
      </c>
      <c r="P12" s="59">
        <v>7.1333000000000002</v>
      </c>
      <c r="Q12" s="59">
        <v>3.3407</v>
      </c>
      <c r="R12" s="59">
        <v>0.50480000000000003</v>
      </c>
      <c r="S12" s="59">
        <v>3.5200000000000002E-2</v>
      </c>
      <c r="T12" s="59">
        <v>4.5199999999999997E-2</v>
      </c>
      <c r="U12" s="59">
        <v>3.1044999999999998</v>
      </c>
      <c r="V12" s="59">
        <v>1.0007999999999999</v>
      </c>
      <c r="W12" s="59">
        <v>0.1128</v>
      </c>
      <c r="X12" s="59">
        <v>7.2371999999999996</v>
      </c>
      <c r="Y12" s="59">
        <v>0</v>
      </c>
      <c r="Z12" s="59">
        <v>-0.4536</v>
      </c>
      <c r="AA12" s="248">
        <v>-9.9129999999999999E-3</v>
      </c>
      <c r="AB12" s="248">
        <v>-4.7320000000000001E-3</v>
      </c>
      <c r="AC12" s="59">
        <v>4.8963000000000001</v>
      </c>
      <c r="AD12" s="59">
        <v>-0.48949999999999999</v>
      </c>
      <c r="AE12" s="59">
        <v>-0.30769999999999997</v>
      </c>
      <c r="AF12" s="248">
        <v>-5.6959999999999997E-3</v>
      </c>
      <c r="AG12" s="248">
        <v>0.25316899999999998</v>
      </c>
      <c r="AH12" s="59">
        <v>0</v>
      </c>
      <c r="AI12" s="49">
        <v>300</v>
      </c>
      <c r="AJ12" s="59">
        <v>0.4244</v>
      </c>
      <c r="AK12" s="59">
        <v>0.2949</v>
      </c>
      <c r="AL12" s="59">
        <v>0.52700000000000002</v>
      </c>
      <c r="AM12" s="59">
        <v>0.4143</v>
      </c>
      <c r="AN12" s="59">
        <v>0.8</v>
      </c>
      <c r="AO12" s="49">
        <v>0.52780000000000005</v>
      </c>
      <c r="AP12" s="59">
        <v>1.3682000000000001</v>
      </c>
      <c r="AQ12" s="59">
        <v>0.77680000000000005</v>
      </c>
      <c r="AR12" s="59">
        <v>-0.56030000000000002</v>
      </c>
      <c r="AS12" s="59">
        <v>0.377</v>
      </c>
      <c r="AT12" s="49">
        <v>800</v>
      </c>
    </row>
    <row r="13" spans="1:46" ht="15.75" customHeight="1" x14ac:dyDescent="0.45">
      <c r="A13" s="49">
        <v>0.15</v>
      </c>
      <c r="B13" s="60">
        <v>1.06</v>
      </c>
      <c r="C13" s="108">
        <v>-2.1</v>
      </c>
      <c r="D13" s="108">
        <v>-0.5</v>
      </c>
      <c r="E13" s="49">
        <v>50</v>
      </c>
      <c r="F13" s="59">
        <v>0</v>
      </c>
      <c r="G13" s="59">
        <v>0.26950000000000002</v>
      </c>
      <c r="H13" s="59">
        <v>-0.54620000000000002</v>
      </c>
      <c r="I13" s="59">
        <v>0.16500000000000001</v>
      </c>
      <c r="J13" s="59">
        <v>-0.25</v>
      </c>
      <c r="K13" s="59">
        <v>-0.16500000000000001</v>
      </c>
      <c r="L13" s="59">
        <v>0.25</v>
      </c>
      <c r="M13" s="59">
        <v>16.624600000000001</v>
      </c>
      <c r="N13" s="59">
        <v>5.0547000000000004</v>
      </c>
      <c r="O13" s="59">
        <v>2.0362</v>
      </c>
      <c r="P13" s="59">
        <v>7.3620999999999999</v>
      </c>
      <c r="Q13" s="59">
        <v>3.43</v>
      </c>
      <c r="R13" s="59">
        <v>0.50449999999999995</v>
      </c>
      <c r="S13" s="59">
        <v>3.5200000000000002E-2</v>
      </c>
      <c r="T13" s="59">
        <v>3.4500000000000003E-2</v>
      </c>
      <c r="U13" s="59">
        <v>3.3399000000000001</v>
      </c>
      <c r="V13" s="59">
        <v>0.98009999999999997</v>
      </c>
      <c r="W13" s="59">
        <v>0.1106</v>
      </c>
      <c r="X13" s="59">
        <v>7.2108999999999996</v>
      </c>
      <c r="Y13" s="59">
        <v>0</v>
      </c>
      <c r="Z13" s="59">
        <v>-0.4536</v>
      </c>
      <c r="AA13" s="248">
        <v>-9.8960000000000003E-3</v>
      </c>
      <c r="AB13" s="248">
        <v>-3.8059999999999999E-3</v>
      </c>
      <c r="AC13" s="59">
        <v>5.0644</v>
      </c>
      <c r="AD13" s="59">
        <v>-0.54769999999999996</v>
      </c>
      <c r="AE13" s="59">
        <v>-0.31130000000000002</v>
      </c>
      <c r="AF13" s="248">
        <v>-5.8450000000000004E-3</v>
      </c>
      <c r="AG13" s="248">
        <v>0.26646799999999998</v>
      </c>
      <c r="AH13" s="59">
        <v>0</v>
      </c>
      <c r="AI13" s="49">
        <v>300</v>
      </c>
      <c r="AJ13" s="59">
        <v>0.42749999999999999</v>
      </c>
      <c r="AK13" s="59">
        <v>0.29930000000000001</v>
      </c>
      <c r="AL13" s="59">
        <v>0.53080000000000005</v>
      </c>
      <c r="AM13" s="59">
        <v>0.41909999999999997</v>
      </c>
      <c r="AN13" s="59">
        <v>0.8</v>
      </c>
      <c r="AO13" s="49">
        <v>0.53039999999999998</v>
      </c>
      <c r="AP13" s="59">
        <v>1.3241000000000001</v>
      </c>
      <c r="AQ13" s="59">
        <v>0.74370000000000003</v>
      </c>
      <c r="AR13" s="59">
        <v>-0.64510000000000001</v>
      </c>
      <c r="AS13" s="59">
        <v>0.379</v>
      </c>
      <c r="AT13" s="49">
        <v>800</v>
      </c>
    </row>
    <row r="14" spans="1:46" ht="15.75" customHeight="1" x14ac:dyDescent="0.45">
      <c r="A14" s="49">
        <v>0.17</v>
      </c>
      <c r="B14" s="60">
        <v>1.06</v>
      </c>
      <c r="C14" s="108">
        <v>-2.1</v>
      </c>
      <c r="D14" s="108">
        <v>-0.5</v>
      </c>
      <c r="E14" s="49">
        <v>50</v>
      </c>
      <c r="F14" s="59">
        <v>0</v>
      </c>
      <c r="G14" s="59">
        <v>0.26950000000000002</v>
      </c>
      <c r="H14" s="59">
        <v>-0.58579999999999999</v>
      </c>
      <c r="I14" s="59">
        <v>0.16500000000000001</v>
      </c>
      <c r="J14" s="59">
        <v>-0.248</v>
      </c>
      <c r="K14" s="59">
        <v>-0.16500000000000001</v>
      </c>
      <c r="L14" s="59">
        <v>0.248</v>
      </c>
      <c r="M14" s="59">
        <v>15.370900000000001</v>
      </c>
      <c r="N14" s="59">
        <v>5.0704000000000002</v>
      </c>
      <c r="O14" s="59">
        <v>2.0823</v>
      </c>
      <c r="P14" s="59">
        <v>7.4364999999999997</v>
      </c>
      <c r="Q14" s="59">
        <v>3.4687999999999999</v>
      </c>
      <c r="R14" s="59">
        <v>0.50360000000000005</v>
      </c>
      <c r="S14" s="59">
        <v>3.5200000000000002E-2</v>
      </c>
      <c r="T14" s="59">
        <v>2.8299999999999999E-2</v>
      </c>
      <c r="U14" s="59">
        <v>3.4719000000000002</v>
      </c>
      <c r="V14" s="59">
        <v>0.96519999999999995</v>
      </c>
      <c r="W14" s="59">
        <v>0.115</v>
      </c>
      <c r="X14" s="59">
        <v>7.2491000000000003</v>
      </c>
      <c r="Y14" s="59">
        <v>0</v>
      </c>
      <c r="Z14" s="59">
        <v>-0.4536</v>
      </c>
      <c r="AA14" s="248">
        <v>-9.7870000000000006E-3</v>
      </c>
      <c r="AB14" s="248">
        <v>-3.2799999999999999E-3</v>
      </c>
      <c r="AC14" s="59">
        <v>5.1371000000000002</v>
      </c>
      <c r="AD14" s="59">
        <v>-0.59219999999999995</v>
      </c>
      <c r="AE14" s="59">
        <v>-0.30620000000000003</v>
      </c>
      <c r="AF14" s="248">
        <v>-5.9589999999999999E-3</v>
      </c>
      <c r="AG14" s="248">
        <v>0.26506000000000002</v>
      </c>
      <c r="AH14" s="59">
        <v>0</v>
      </c>
      <c r="AI14" s="49">
        <v>300</v>
      </c>
      <c r="AJ14" s="59">
        <v>0.42920000000000003</v>
      </c>
      <c r="AK14" s="59">
        <v>0.30170000000000002</v>
      </c>
      <c r="AL14" s="59">
        <v>0.53280000000000005</v>
      </c>
      <c r="AM14" s="59">
        <v>0.42170000000000002</v>
      </c>
      <c r="AN14" s="59">
        <v>0.8</v>
      </c>
      <c r="AO14" s="49">
        <v>0.53100000000000003</v>
      </c>
      <c r="AP14" s="59">
        <v>1.3070999999999999</v>
      </c>
      <c r="AQ14" s="59">
        <v>0.72189999999999999</v>
      </c>
      <c r="AR14" s="59">
        <v>-0.69810000000000005</v>
      </c>
      <c r="AS14" s="59">
        <v>0.38</v>
      </c>
      <c r="AT14" s="49">
        <v>800</v>
      </c>
    </row>
    <row r="15" spans="1:46" ht="15.75" customHeight="1" x14ac:dyDescent="0.45">
      <c r="A15" s="49">
        <v>0.2</v>
      </c>
      <c r="B15" s="60">
        <v>1.06</v>
      </c>
      <c r="C15" s="108">
        <v>-2.1</v>
      </c>
      <c r="D15" s="108">
        <v>-0.5</v>
      </c>
      <c r="E15" s="49">
        <v>50</v>
      </c>
      <c r="F15" s="59">
        <v>0</v>
      </c>
      <c r="G15" s="59">
        <v>0.26950000000000002</v>
      </c>
      <c r="H15" s="59">
        <v>-0.67979999999999996</v>
      </c>
      <c r="I15" s="59">
        <v>0.16500000000000001</v>
      </c>
      <c r="J15" s="59">
        <v>-0.24490000000000001</v>
      </c>
      <c r="K15" s="59">
        <v>-0.16500000000000001</v>
      </c>
      <c r="L15" s="59">
        <v>0.24490000000000001</v>
      </c>
      <c r="M15" s="59">
        <v>13.7012</v>
      </c>
      <c r="N15" s="59">
        <v>5.0938999999999997</v>
      </c>
      <c r="O15" s="59">
        <v>2.1520999999999999</v>
      </c>
      <c r="P15" s="59">
        <v>7.4972000000000003</v>
      </c>
      <c r="Q15" s="59">
        <v>3.5146000000000002</v>
      </c>
      <c r="R15" s="59">
        <v>0.50160000000000005</v>
      </c>
      <c r="S15" s="59">
        <v>3.5200000000000002E-2</v>
      </c>
      <c r="T15" s="59">
        <v>2.0199999999999999E-2</v>
      </c>
      <c r="U15" s="59">
        <v>3.6434000000000002</v>
      </c>
      <c r="V15" s="59">
        <v>0.94589999999999996</v>
      </c>
      <c r="W15" s="59">
        <v>0.1208</v>
      </c>
      <c r="X15" s="59">
        <v>7.2988</v>
      </c>
      <c r="Y15" s="59">
        <v>0</v>
      </c>
      <c r="Z15" s="59">
        <v>-0.44400000000000001</v>
      </c>
      <c r="AA15" s="248">
        <v>-9.5049999999999996E-3</v>
      </c>
      <c r="AB15" s="248">
        <v>-2.6900000000000001E-3</v>
      </c>
      <c r="AC15" s="59">
        <v>5.1879999999999997</v>
      </c>
      <c r="AD15" s="59">
        <v>-0.66930000000000001</v>
      </c>
      <c r="AE15" s="59">
        <v>-0.29270000000000002</v>
      </c>
      <c r="AF15" s="248">
        <v>-6.1409999999999998E-3</v>
      </c>
      <c r="AG15" s="248">
        <v>0.25525300000000001</v>
      </c>
      <c r="AH15" s="59">
        <v>0</v>
      </c>
      <c r="AI15" s="49">
        <v>300</v>
      </c>
      <c r="AJ15" s="59">
        <v>0.43130000000000002</v>
      </c>
      <c r="AK15" s="59">
        <v>0.30470000000000003</v>
      </c>
      <c r="AL15" s="59">
        <v>0.53510000000000002</v>
      </c>
      <c r="AM15" s="59">
        <v>0.42520000000000002</v>
      </c>
      <c r="AN15" s="59">
        <v>0.8</v>
      </c>
      <c r="AO15" s="49">
        <v>0.53120000000000001</v>
      </c>
      <c r="AP15" s="59">
        <v>1.2930999999999999</v>
      </c>
      <c r="AQ15" s="59">
        <v>0.69220000000000004</v>
      </c>
      <c r="AR15" s="59">
        <v>-0.76529999999999998</v>
      </c>
      <c r="AS15" s="59">
        <v>0.38400000000000001</v>
      </c>
      <c r="AT15" s="49">
        <v>800</v>
      </c>
    </row>
    <row r="16" spans="1:46" ht="15.75" customHeight="1" x14ac:dyDescent="0.45">
      <c r="A16" s="49">
        <v>0.25</v>
      </c>
      <c r="B16" s="60">
        <v>1.06</v>
      </c>
      <c r="C16" s="108">
        <v>-2.1</v>
      </c>
      <c r="D16" s="108">
        <v>-0.5</v>
      </c>
      <c r="E16" s="49">
        <v>50</v>
      </c>
      <c r="F16" s="59">
        <v>0</v>
      </c>
      <c r="G16" s="59">
        <v>0.26950000000000002</v>
      </c>
      <c r="H16" s="59">
        <v>-0.86629999999999996</v>
      </c>
      <c r="I16" s="59">
        <v>0.16500000000000001</v>
      </c>
      <c r="J16" s="59">
        <v>-0.2382</v>
      </c>
      <c r="K16" s="59">
        <v>-0.16500000000000001</v>
      </c>
      <c r="L16" s="59">
        <v>0.2382</v>
      </c>
      <c r="M16" s="59">
        <v>11.2667</v>
      </c>
      <c r="N16" s="59">
        <v>5.1315</v>
      </c>
      <c r="O16" s="59">
        <v>2.2574000000000001</v>
      </c>
      <c r="P16" s="59">
        <v>7.5415999999999999</v>
      </c>
      <c r="Q16" s="59">
        <v>3.5746000000000002</v>
      </c>
      <c r="R16" s="59">
        <v>0.49709999999999999</v>
      </c>
      <c r="S16" s="59">
        <v>3.5200000000000002E-2</v>
      </c>
      <c r="T16" s="59">
        <v>8.9999999999999993E-3</v>
      </c>
      <c r="U16" s="59">
        <v>3.8786999999999998</v>
      </c>
      <c r="V16" s="59">
        <v>0.91959999999999997</v>
      </c>
      <c r="W16" s="59">
        <v>0.1208</v>
      </c>
      <c r="X16" s="59">
        <v>7.3691000000000004</v>
      </c>
      <c r="Y16" s="59">
        <v>0</v>
      </c>
      <c r="Z16" s="59">
        <v>-0.35389999999999999</v>
      </c>
      <c r="AA16" s="248">
        <v>-8.9180000000000006E-3</v>
      </c>
      <c r="AB16" s="248">
        <v>-2.1280000000000001E-3</v>
      </c>
      <c r="AC16" s="59">
        <v>5.2164000000000001</v>
      </c>
      <c r="AD16" s="59">
        <v>-0.77659999999999996</v>
      </c>
      <c r="AE16" s="59">
        <v>-0.26619999999999999</v>
      </c>
      <c r="AF16" s="248">
        <v>-6.4390000000000003E-3</v>
      </c>
      <c r="AG16" s="248">
        <v>0.231541</v>
      </c>
      <c r="AH16" s="59">
        <v>0</v>
      </c>
      <c r="AI16" s="49">
        <v>300</v>
      </c>
      <c r="AJ16" s="59">
        <v>0.43409999999999999</v>
      </c>
      <c r="AK16" s="59">
        <v>0.30869999999999997</v>
      </c>
      <c r="AL16" s="59">
        <v>0.53769999999999996</v>
      </c>
      <c r="AM16" s="59">
        <v>0.4299</v>
      </c>
      <c r="AN16" s="59">
        <v>0.79990000000000006</v>
      </c>
      <c r="AO16" s="49">
        <v>0.53090000000000004</v>
      </c>
      <c r="AP16" s="59">
        <v>1.3149999999999999</v>
      </c>
      <c r="AQ16" s="59">
        <v>0.65790000000000004</v>
      </c>
      <c r="AR16" s="59">
        <v>-0.84689999999999999</v>
      </c>
      <c r="AS16" s="59">
        <v>0.39300000000000002</v>
      </c>
      <c r="AT16" s="49">
        <v>800</v>
      </c>
    </row>
    <row r="17" spans="1:46" ht="15.75" customHeight="1" x14ac:dyDescent="0.45">
      <c r="A17" s="49">
        <v>0.3</v>
      </c>
      <c r="B17" s="60">
        <v>1.06</v>
      </c>
      <c r="C17" s="108">
        <v>-2.1</v>
      </c>
      <c r="D17" s="108">
        <v>-0.5</v>
      </c>
      <c r="E17" s="49">
        <v>50</v>
      </c>
      <c r="F17" s="59">
        <v>0</v>
      </c>
      <c r="G17" s="59">
        <v>0.26950000000000002</v>
      </c>
      <c r="H17" s="59">
        <v>-1.0513999999999999</v>
      </c>
      <c r="I17" s="59">
        <v>0.16500000000000001</v>
      </c>
      <c r="J17" s="59">
        <v>-0.23130000000000001</v>
      </c>
      <c r="K17" s="59">
        <v>-0.16500000000000001</v>
      </c>
      <c r="L17" s="59">
        <v>0.23130000000000001</v>
      </c>
      <c r="M17" s="59">
        <v>9.1907999999999994</v>
      </c>
      <c r="N17" s="59">
        <v>5.1669999999999998</v>
      </c>
      <c r="O17" s="59">
        <v>2.3439999999999999</v>
      </c>
      <c r="P17" s="59">
        <v>7.56</v>
      </c>
      <c r="Q17" s="59">
        <v>3.6232000000000002</v>
      </c>
      <c r="R17" s="59">
        <v>0.4919</v>
      </c>
      <c r="S17" s="59">
        <v>3.5200000000000002E-2</v>
      </c>
      <c r="T17" s="59">
        <v>-4.0000000000000002E-4</v>
      </c>
      <c r="U17" s="59">
        <v>4.0711000000000004</v>
      </c>
      <c r="V17" s="59">
        <v>0.88290000000000002</v>
      </c>
      <c r="W17" s="59">
        <v>0.11749999999999999</v>
      </c>
      <c r="X17" s="59">
        <v>6.8788999999999998</v>
      </c>
      <c r="Y17" s="59">
        <v>0</v>
      </c>
      <c r="Z17" s="59">
        <v>-0.26879999999999998</v>
      </c>
      <c r="AA17" s="248">
        <v>-8.2509999999999997E-3</v>
      </c>
      <c r="AB17" s="248">
        <v>-1.812E-3</v>
      </c>
      <c r="AC17" s="59">
        <v>5.1954000000000002</v>
      </c>
      <c r="AD17" s="59">
        <v>-0.85009999999999997</v>
      </c>
      <c r="AE17" s="59">
        <v>-0.24049999999999999</v>
      </c>
      <c r="AF17" s="248">
        <v>-6.7039999999999999E-3</v>
      </c>
      <c r="AG17" s="248">
        <v>0.20727699999999999</v>
      </c>
      <c r="AH17" s="59">
        <v>1E-3</v>
      </c>
      <c r="AI17" s="49">
        <v>300</v>
      </c>
      <c r="AJ17" s="59">
        <v>0.43630000000000002</v>
      </c>
      <c r="AK17" s="59">
        <v>0.31190000000000001</v>
      </c>
      <c r="AL17" s="59">
        <v>0.53949999999999998</v>
      </c>
      <c r="AM17" s="59">
        <v>0.43380000000000002</v>
      </c>
      <c r="AN17" s="59">
        <v>0.79969999999999997</v>
      </c>
      <c r="AO17" s="49">
        <v>0.53069999999999995</v>
      </c>
      <c r="AP17" s="59">
        <v>1.3513999999999999</v>
      </c>
      <c r="AQ17" s="59">
        <v>0.63619999999999999</v>
      </c>
      <c r="AR17" s="59">
        <v>-0.89990000000000003</v>
      </c>
      <c r="AS17" s="59">
        <v>0.40799999999999997</v>
      </c>
      <c r="AT17" s="49">
        <v>800</v>
      </c>
    </row>
    <row r="18" spans="1:46" ht="15.75" customHeight="1" x14ac:dyDescent="0.45">
      <c r="A18" s="49">
        <v>0.4</v>
      </c>
      <c r="B18" s="60">
        <v>1.06</v>
      </c>
      <c r="C18" s="108">
        <v>-2.1</v>
      </c>
      <c r="D18" s="108">
        <v>-0.5</v>
      </c>
      <c r="E18" s="49">
        <v>50</v>
      </c>
      <c r="F18" s="59">
        <v>0</v>
      </c>
      <c r="G18" s="59">
        <v>0.26950000000000002</v>
      </c>
      <c r="H18" s="59">
        <v>-1.3794</v>
      </c>
      <c r="I18" s="59">
        <v>0.16500000000000001</v>
      </c>
      <c r="J18" s="59">
        <v>-0.21460000000000001</v>
      </c>
      <c r="K18" s="59">
        <v>-0.16500000000000001</v>
      </c>
      <c r="L18" s="59">
        <v>0.21460000000000001</v>
      </c>
      <c r="M18" s="59">
        <v>6.5458999999999996</v>
      </c>
      <c r="N18" s="59">
        <v>5.2317</v>
      </c>
      <c r="O18" s="59">
        <v>2.4708999999999999</v>
      </c>
      <c r="P18" s="59">
        <v>7.5735000000000001</v>
      </c>
      <c r="Q18" s="59">
        <v>3.6945000000000001</v>
      </c>
      <c r="R18" s="59">
        <v>0.48070000000000002</v>
      </c>
      <c r="S18" s="59">
        <v>3.5200000000000002E-2</v>
      </c>
      <c r="T18" s="59">
        <v>-1.55E-2</v>
      </c>
      <c r="U18" s="59">
        <v>4.3745000000000003</v>
      </c>
      <c r="V18" s="59">
        <v>0.83020000000000005</v>
      </c>
      <c r="W18" s="59">
        <v>0.106</v>
      </c>
      <c r="X18" s="59">
        <v>6.5334000000000003</v>
      </c>
      <c r="Y18" s="59">
        <v>0</v>
      </c>
      <c r="Z18" s="59">
        <v>-0.17929999999999999</v>
      </c>
      <c r="AA18" s="248">
        <v>-7.267E-3</v>
      </c>
      <c r="AB18" s="248">
        <v>-1.274E-3</v>
      </c>
      <c r="AC18" s="59">
        <v>5.0899000000000001</v>
      </c>
      <c r="AD18" s="59">
        <v>-0.94310000000000005</v>
      </c>
      <c r="AE18" s="59">
        <v>-0.19750000000000001</v>
      </c>
      <c r="AF18" s="248">
        <v>-7.1250000000000003E-3</v>
      </c>
      <c r="AG18" s="248">
        <v>0.165464</v>
      </c>
      <c r="AH18" s="59">
        <v>4.0000000000000001E-3</v>
      </c>
      <c r="AI18" s="49">
        <v>300</v>
      </c>
      <c r="AJ18" s="59">
        <v>0.43959999999999999</v>
      </c>
      <c r="AK18" s="59">
        <v>0.3165</v>
      </c>
      <c r="AL18" s="59">
        <v>0.54220000000000002</v>
      </c>
      <c r="AM18" s="59">
        <v>0.43990000000000001</v>
      </c>
      <c r="AN18" s="59">
        <v>0.79879999999999995</v>
      </c>
      <c r="AO18" s="49">
        <v>0.53100000000000003</v>
      </c>
      <c r="AP18" s="59">
        <v>1.4051</v>
      </c>
      <c r="AQ18" s="59">
        <v>0.60489999999999999</v>
      </c>
      <c r="AR18" s="59">
        <v>-0.96179999999999999</v>
      </c>
      <c r="AS18" s="59">
        <v>0.46200000000000002</v>
      </c>
      <c r="AT18" s="49">
        <v>800</v>
      </c>
    </row>
    <row r="19" spans="1:46" ht="15.75" customHeight="1" x14ac:dyDescent="0.45">
      <c r="A19" s="49">
        <v>0.5</v>
      </c>
      <c r="B19" s="60">
        <v>1.06</v>
      </c>
      <c r="C19" s="108">
        <v>-2.1</v>
      </c>
      <c r="D19" s="108">
        <v>-0.5</v>
      </c>
      <c r="E19" s="49">
        <v>50</v>
      </c>
      <c r="F19" s="59">
        <v>9.9099999999999994E-2</v>
      </c>
      <c r="G19" s="59">
        <v>0.26950000000000002</v>
      </c>
      <c r="H19" s="59">
        <v>-1.6508</v>
      </c>
      <c r="I19" s="59">
        <v>0.16500000000000001</v>
      </c>
      <c r="J19" s="59">
        <v>-0.19719999999999999</v>
      </c>
      <c r="K19" s="59">
        <v>-0.16500000000000001</v>
      </c>
      <c r="L19" s="59">
        <v>0.19719999999999999</v>
      </c>
      <c r="M19" s="59">
        <v>5.2305000000000001</v>
      </c>
      <c r="N19" s="59">
        <v>5.2892999999999999</v>
      </c>
      <c r="O19" s="59">
        <v>2.5567000000000002</v>
      </c>
      <c r="P19" s="59">
        <v>7.5777999999999999</v>
      </c>
      <c r="Q19" s="59">
        <v>3.7401</v>
      </c>
      <c r="R19" s="59">
        <v>0.47070000000000001</v>
      </c>
      <c r="S19" s="59">
        <v>3.5200000000000002E-2</v>
      </c>
      <c r="T19" s="59">
        <v>-2.7799999999999998E-2</v>
      </c>
      <c r="U19" s="59">
        <v>4.6098999999999997</v>
      </c>
      <c r="V19" s="59">
        <v>0.78839999999999999</v>
      </c>
      <c r="W19" s="59">
        <v>0.1061</v>
      </c>
      <c r="X19" s="59">
        <v>6.5259999999999998</v>
      </c>
      <c r="Y19" s="59">
        <v>0</v>
      </c>
      <c r="Z19" s="59">
        <v>-0.14280000000000001</v>
      </c>
      <c r="AA19" s="248">
        <v>-6.4920000000000004E-3</v>
      </c>
      <c r="AB19" s="248">
        <v>-1.0740000000000001E-3</v>
      </c>
      <c r="AC19" s="59">
        <v>4.7854000000000001</v>
      </c>
      <c r="AD19" s="59">
        <v>-1.0044</v>
      </c>
      <c r="AE19" s="59">
        <v>-0.1633</v>
      </c>
      <c r="AF19" s="248">
        <v>-7.4349999999999998E-3</v>
      </c>
      <c r="AG19" s="248">
        <v>0.133828</v>
      </c>
      <c r="AH19" s="59">
        <v>0.01</v>
      </c>
      <c r="AI19" s="49">
        <v>300</v>
      </c>
      <c r="AJ19" s="59">
        <v>0.44190000000000002</v>
      </c>
      <c r="AK19" s="59">
        <v>0.31990000000000002</v>
      </c>
      <c r="AL19" s="59">
        <v>0.54330000000000001</v>
      </c>
      <c r="AM19" s="59">
        <v>0.4446</v>
      </c>
      <c r="AN19" s="59">
        <v>0.79659999999999997</v>
      </c>
      <c r="AO19" s="49">
        <v>0.53129999999999999</v>
      </c>
      <c r="AP19" s="59">
        <v>1.4401999999999999</v>
      </c>
      <c r="AQ19" s="59">
        <v>0.55069999999999997</v>
      </c>
      <c r="AR19" s="59">
        <v>-0.99450000000000005</v>
      </c>
      <c r="AS19" s="59">
        <v>0.52400000000000002</v>
      </c>
      <c r="AT19" s="49">
        <v>800</v>
      </c>
    </row>
    <row r="20" spans="1:46" ht="15.75" customHeight="1" x14ac:dyDescent="0.45">
      <c r="A20" s="49">
        <v>0.75</v>
      </c>
      <c r="B20" s="60">
        <v>1.06</v>
      </c>
      <c r="C20" s="108">
        <v>-2.1</v>
      </c>
      <c r="D20" s="108">
        <v>-0.5</v>
      </c>
      <c r="E20" s="49">
        <v>50</v>
      </c>
      <c r="F20" s="59">
        <v>0.19819999999999999</v>
      </c>
      <c r="G20" s="59">
        <v>0.26950000000000002</v>
      </c>
      <c r="H20" s="59">
        <v>-2.1511</v>
      </c>
      <c r="I20" s="59">
        <v>0.16500000000000001</v>
      </c>
      <c r="J20" s="59">
        <v>-0.16200000000000001</v>
      </c>
      <c r="K20" s="59">
        <v>-0.16500000000000001</v>
      </c>
      <c r="L20" s="59">
        <v>0.16200000000000001</v>
      </c>
      <c r="M20" s="59">
        <v>3.7896000000000001</v>
      </c>
      <c r="N20" s="59">
        <v>5.4108999999999998</v>
      </c>
      <c r="O20" s="59">
        <v>2.6812</v>
      </c>
      <c r="P20" s="59">
        <v>7.5808</v>
      </c>
      <c r="Q20" s="59">
        <v>3.7940999999999998</v>
      </c>
      <c r="R20" s="59">
        <v>0.45750000000000002</v>
      </c>
      <c r="S20" s="59">
        <v>3.5200000000000002E-2</v>
      </c>
      <c r="T20" s="59">
        <v>-4.7699999999999999E-2</v>
      </c>
      <c r="U20" s="59">
        <v>5.0376000000000003</v>
      </c>
      <c r="V20" s="59">
        <v>0.6754</v>
      </c>
      <c r="W20" s="59">
        <v>0.1</v>
      </c>
      <c r="X20" s="59">
        <v>6.5</v>
      </c>
      <c r="Y20" s="59">
        <v>0</v>
      </c>
      <c r="Z20" s="59">
        <v>-0.1138</v>
      </c>
      <c r="AA20" s="248">
        <v>-5.1469999999999997E-3</v>
      </c>
      <c r="AB20" s="248">
        <v>-1.1150000000000001E-3</v>
      </c>
      <c r="AC20" s="59">
        <v>4.3304</v>
      </c>
      <c r="AD20" s="59">
        <v>-1.0602</v>
      </c>
      <c r="AE20" s="59">
        <v>-0.1028</v>
      </c>
      <c r="AF20" s="248">
        <v>-8.1200000000000005E-3</v>
      </c>
      <c r="AG20" s="248">
        <v>8.5153000000000006E-2</v>
      </c>
      <c r="AH20" s="59">
        <v>3.4000000000000002E-2</v>
      </c>
      <c r="AI20" s="49">
        <v>300</v>
      </c>
      <c r="AJ20" s="59">
        <v>0.44590000000000002</v>
      </c>
      <c r="AK20" s="59">
        <v>0.32550000000000001</v>
      </c>
      <c r="AL20" s="59">
        <v>0.52939999999999998</v>
      </c>
      <c r="AM20" s="59">
        <v>0.45329999999999998</v>
      </c>
      <c r="AN20" s="59">
        <v>0.7792</v>
      </c>
      <c r="AO20" s="49">
        <v>0.53090000000000004</v>
      </c>
      <c r="AP20" s="59">
        <v>1.528</v>
      </c>
      <c r="AQ20" s="59">
        <v>0.35820000000000002</v>
      </c>
      <c r="AR20" s="59">
        <v>-1.0225</v>
      </c>
      <c r="AS20" s="59">
        <v>0.65800000000000003</v>
      </c>
      <c r="AT20" s="49">
        <v>800</v>
      </c>
    </row>
    <row r="21" spans="1:46" ht="15.75" customHeight="1" x14ac:dyDescent="0.45">
      <c r="A21" s="49">
        <v>1</v>
      </c>
      <c r="B21" s="60">
        <v>1.06</v>
      </c>
      <c r="C21" s="108">
        <v>-2.1</v>
      </c>
      <c r="D21" s="108">
        <v>-0.5</v>
      </c>
      <c r="E21" s="49">
        <v>50</v>
      </c>
      <c r="F21" s="59">
        <v>0.21540000000000001</v>
      </c>
      <c r="G21" s="59">
        <v>0.26950000000000002</v>
      </c>
      <c r="H21" s="59">
        <v>-2.5365000000000002</v>
      </c>
      <c r="I21" s="59">
        <v>0.16500000000000001</v>
      </c>
      <c r="J21" s="59">
        <v>-0.14000000000000001</v>
      </c>
      <c r="K21" s="59">
        <v>-0.16500000000000001</v>
      </c>
      <c r="L21" s="59">
        <v>0.14000000000000001</v>
      </c>
      <c r="M21" s="59">
        <v>3.3024</v>
      </c>
      <c r="N21" s="59">
        <v>5.5106000000000002</v>
      </c>
      <c r="O21" s="59">
        <v>2.7473999999999998</v>
      </c>
      <c r="P21" s="59">
        <v>7.5814000000000004</v>
      </c>
      <c r="Q21" s="59">
        <v>3.8144</v>
      </c>
      <c r="R21" s="59">
        <v>0.45219999999999999</v>
      </c>
      <c r="S21" s="59">
        <v>3.5200000000000002E-2</v>
      </c>
      <c r="T21" s="59">
        <v>-5.5899999999999998E-2</v>
      </c>
      <c r="U21" s="59">
        <v>5.3411</v>
      </c>
      <c r="V21" s="59">
        <v>0.61960000000000004</v>
      </c>
      <c r="W21" s="59">
        <v>0.1</v>
      </c>
      <c r="X21" s="59">
        <v>6.5</v>
      </c>
      <c r="Y21" s="59">
        <v>0</v>
      </c>
      <c r="Z21" s="59">
        <v>-0.1062</v>
      </c>
      <c r="AA21" s="248">
        <v>-4.2770000000000004E-3</v>
      </c>
      <c r="AB21" s="248">
        <v>-1.1969999999999999E-3</v>
      </c>
      <c r="AC21" s="59">
        <v>4.1666999999999996</v>
      </c>
      <c r="AD21" s="59">
        <v>-1.0941000000000001</v>
      </c>
      <c r="AE21" s="59">
        <v>-6.9900000000000004E-2</v>
      </c>
      <c r="AF21" s="248">
        <v>-8.4440000000000001E-3</v>
      </c>
      <c r="AG21" s="248">
        <v>5.8595000000000001E-2</v>
      </c>
      <c r="AH21" s="59">
        <v>6.7000000000000004E-2</v>
      </c>
      <c r="AI21" s="49">
        <v>300</v>
      </c>
      <c r="AJ21" s="59">
        <v>0.44840000000000002</v>
      </c>
      <c r="AK21" s="59">
        <v>0.3291</v>
      </c>
      <c r="AL21" s="59">
        <v>0.51049999999999995</v>
      </c>
      <c r="AM21" s="59">
        <v>0.45939999999999998</v>
      </c>
      <c r="AN21" s="59">
        <v>0.75039999999999996</v>
      </c>
      <c r="AO21" s="49">
        <v>0.5302</v>
      </c>
      <c r="AP21" s="59">
        <v>1.6523000000000001</v>
      </c>
      <c r="AQ21" s="59">
        <v>0.20030000000000001</v>
      </c>
      <c r="AR21" s="59">
        <v>-1.0002</v>
      </c>
      <c r="AS21" s="59">
        <v>0.78</v>
      </c>
      <c r="AT21" s="49">
        <v>800</v>
      </c>
    </row>
    <row r="22" spans="1:46" ht="15.75" customHeight="1" x14ac:dyDescent="0.45">
      <c r="A22" s="49">
        <v>1.5</v>
      </c>
      <c r="B22" s="60">
        <v>1.06</v>
      </c>
      <c r="C22" s="108">
        <v>-2.1</v>
      </c>
      <c r="D22" s="108">
        <v>-0.5</v>
      </c>
      <c r="E22" s="49">
        <v>50</v>
      </c>
      <c r="F22" s="59">
        <v>0.21540000000000001</v>
      </c>
      <c r="G22" s="59">
        <v>0.26950000000000002</v>
      </c>
      <c r="H22" s="59">
        <v>-3.0686</v>
      </c>
      <c r="I22" s="59">
        <v>0.16500000000000001</v>
      </c>
      <c r="J22" s="59">
        <v>-0.11840000000000001</v>
      </c>
      <c r="K22" s="59">
        <v>-0.16500000000000001</v>
      </c>
      <c r="L22" s="59">
        <v>0.11840000000000001</v>
      </c>
      <c r="M22" s="59">
        <v>2.8498000000000001</v>
      </c>
      <c r="N22" s="59">
        <v>5.6704999999999997</v>
      </c>
      <c r="O22" s="59">
        <v>2.8161</v>
      </c>
      <c r="P22" s="59">
        <v>7.5816999999999997</v>
      </c>
      <c r="Q22" s="59">
        <v>3.8283999999999998</v>
      </c>
      <c r="R22" s="59">
        <v>0.4501</v>
      </c>
      <c r="S22" s="59">
        <v>3.5200000000000002E-2</v>
      </c>
      <c r="T22" s="59">
        <v>-6.3E-2</v>
      </c>
      <c r="U22" s="59">
        <v>5.7687999999999997</v>
      </c>
      <c r="V22" s="59">
        <v>0.5101</v>
      </c>
      <c r="W22" s="59">
        <v>0.1</v>
      </c>
      <c r="X22" s="59">
        <v>6.5</v>
      </c>
      <c r="Y22" s="59">
        <v>0</v>
      </c>
      <c r="Z22" s="59">
        <v>-0.10199999999999999</v>
      </c>
      <c r="AA22" s="248">
        <v>-2.9789999999999999E-3</v>
      </c>
      <c r="AB22" s="248">
        <v>-1.6750000000000001E-3</v>
      </c>
      <c r="AC22" s="59">
        <v>4.0029000000000003</v>
      </c>
      <c r="AD22" s="59">
        <v>-1.1142000000000001</v>
      </c>
      <c r="AE22" s="59">
        <v>-4.2500000000000003E-2</v>
      </c>
      <c r="AF22" s="248">
        <v>-7.7070000000000003E-3</v>
      </c>
      <c r="AG22" s="248">
        <v>3.1787000000000003E-2</v>
      </c>
      <c r="AH22" s="59">
        <v>0.14299999999999999</v>
      </c>
      <c r="AI22" s="49">
        <v>300</v>
      </c>
      <c r="AJ22" s="59">
        <v>0.45150000000000001</v>
      </c>
      <c r="AK22" s="59">
        <v>0.33350000000000002</v>
      </c>
      <c r="AL22" s="59">
        <v>0.4783</v>
      </c>
      <c r="AM22" s="59">
        <v>0.46800000000000003</v>
      </c>
      <c r="AN22" s="59">
        <v>0.71360000000000001</v>
      </c>
      <c r="AO22" s="49">
        <v>0.52759999999999996</v>
      </c>
      <c r="AP22" s="59">
        <v>1.8872</v>
      </c>
      <c r="AQ22" s="59">
        <v>3.56E-2</v>
      </c>
      <c r="AR22" s="59">
        <v>-0.92449999999999999</v>
      </c>
      <c r="AS22" s="59">
        <v>0.96</v>
      </c>
      <c r="AT22" s="49">
        <v>800</v>
      </c>
    </row>
    <row r="23" spans="1:46" ht="15.75" customHeight="1" x14ac:dyDescent="0.45">
      <c r="A23" s="49">
        <v>2</v>
      </c>
      <c r="B23" s="60">
        <v>1.06</v>
      </c>
      <c r="C23" s="108">
        <v>-2.1</v>
      </c>
      <c r="D23" s="108">
        <v>-0.5</v>
      </c>
      <c r="E23" s="49">
        <v>50</v>
      </c>
      <c r="F23" s="59">
        <v>0.21540000000000001</v>
      </c>
      <c r="G23" s="59">
        <v>0.26950000000000002</v>
      </c>
      <c r="H23" s="59">
        <v>-3.4148000000000001</v>
      </c>
      <c r="I23" s="59">
        <v>0.16450000000000001</v>
      </c>
      <c r="J23" s="59">
        <v>-0.11</v>
      </c>
      <c r="K23" s="59">
        <v>-0.16450000000000001</v>
      </c>
      <c r="L23" s="59">
        <v>0.11</v>
      </c>
      <c r="M23" s="59">
        <v>2.5417000000000001</v>
      </c>
      <c r="N23" s="59">
        <v>5.7980999999999998</v>
      </c>
      <c r="O23" s="59">
        <v>2.8513999999999999</v>
      </c>
      <c r="P23" s="59">
        <v>7.5818000000000003</v>
      </c>
      <c r="Q23" s="59">
        <v>3.8330000000000002</v>
      </c>
      <c r="R23" s="59">
        <v>0.45</v>
      </c>
      <c r="S23" s="59">
        <v>3.5200000000000002E-2</v>
      </c>
      <c r="T23" s="59">
        <v>-6.6500000000000004E-2</v>
      </c>
      <c r="U23" s="59">
        <v>6.0723000000000003</v>
      </c>
      <c r="V23" s="59">
        <v>0.39169999999999999</v>
      </c>
      <c r="W23" s="59">
        <v>0.1</v>
      </c>
      <c r="X23" s="59">
        <v>6.5</v>
      </c>
      <c r="Y23" s="59">
        <v>0</v>
      </c>
      <c r="Z23" s="59">
        <v>-0.1009</v>
      </c>
      <c r="AA23" s="248">
        <v>-2.3010000000000001E-3</v>
      </c>
      <c r="AB23" s="248">
        <v>-2.349E-3</v>
      </c>
      <c r="AC23" s="59">
        <v>3.8948999999999998</v>
      </c>
      <c r="AD23" s="59">
        <v>-1.1153999999999999</v>
      </c>
      <c r="AE23" s="59">
        <v>-3.0200000000000001E-2</v>
      </c>
      <c r="AF23" s="248">
        <v>-4.7920000000000003E-3</v>
      </c>
      <c r="AG23" s="248">
        <v>1.9716000000000001E-2</v>
      </c>
      <c r="AH23" s="59">
        <v>0.20300000000000001</v>
      </c>
      <c r="AI23" s="49">
        <v>300</v>
      </c>
      <c r="AJ23" s="59">
        <v>0.45340000000000003</v>
      </c>
      <c r="AK23" s="59">
        <v>0.33629999999999999</v>
      </c>
      <c r="AL23" s="59">
        <v>0.46810000000000002</v>
      </c>
      <c r="AM23" s="59">
        <v>0.46810000000000002</v>
      </c>
      <c r="AN23" s="59">
        <v>0.70350000000000001</v>
      </c>
      <c r="AO23" s="49">
        <v>0.51670000000000005</v>
      </c>
      <c r="AP23" s="59">
        <v>2.1347999999999998</v>
      </c>
      <c r="AQ23" s="59">
        <v>0</v>
      </c>
      <c r="AR23" s="59">
        <v>-0.86260000000000003</v>
      </c>
      <c r="AS23" s="59">
        <v>1.1100000000000001</v>
      </c>
      <c r="AT23" s="49">
        <v>800</v>
      </c>
    </row>
    <row r="24" spans="1:46" ht="15.75" customHeight="1" x14ac:dyDescent="0.45">
      <c r="A24" s="49">
        <v>3</v>
      </c>
      <c r="B24" s="60">
        <v>1.06</v>
      </c>
      <c r="C24" s="108">
        <v>-2.1</v>
      </c>
      <c r="D24" s="108">
        <v>-0.5</v>
      </c>
      <c r="E24" s="49">
        <v>50</v>
      </c>
      <c r="F24" s="59">
        <v>0.21540000000000001</v>
      </c>
      <c r="G24" s="59">
        <v>0.26950000000000002</v>
      </c>
      <c r="H24" s="59">
        <v>-3.9013</v>
      </c>
      <c r="I24" s="59">
        <v>0.1168</v>
      </c>
      <c r="J24" s="59">
        <v>-0.104</v>
      </c>
      <c r="K24" s="59">
        <v>-0.1168</v>
      </c>
      <c r="L24" s="59">
        <v>0.104</v>
      </c>
      <c r="M24" s="59">
        <v>2.1488</v>
      </c>
      <c r="N24" s="59">
        <v>5.9983000000000004</v>
      </c>
      <c r="O24" s="59">
        <v>2.8875000000000002</v>
      </c>
      <c r="P24" s="59">
        <v>7.5818000000000003</v>
      </c>
      <c r="Q24" s="59">
        <v>3.8361000000000001</v>
      </c>
      <c r="R24" s="59">
        <v>0.45</v>
      </c>
      <c r="S24" s="59">
        <v>1.6E-2</v>
      </c>
      <c r="T24" s="59">
        <v>-5.16E-2</v>
      </c>
      <c r="U24" s="59">
        <v>6.5</v>
      </c>
      <c r="V24" s="59">
        <v>0.1244</v>
      </c>
      <c r="W24" s="59">
        <v>0.1</v>
      </c>
      <c r="X24" s="59">
        <v>6.5</v>
      </c>
      <c r="Y24" s="59">
        <v>0</v>
      </c>
      <c r="Z24" s="59">
        <v>-0.1003</v>
      </c>
      <c r="AA24" s="248">
        <v>-1.3439999999999999E-3</v>
      </c>
      <c r="AB24" s="248">
        <v>-3.3059999999999999E-3</v>
      </c>
      <c r="AC24" s="59">
        <v>3.7928000000000002</v>
      </c>
      <c r="AD24" s="59">
        <v>-1.1081000000000001</v>
      </c>
      <c r="AE24" s="59">
        <v>-1.29E-2</v>
      </c>
      <c r="AF24" s="248">
        <v>-1.828E-3</v>
      </c>
      <c r="AG24" s="248">
        <v>9.6430000000000005E-3</v>
      </c>
      <c r="AH24" s="59">
        <v>0.27700000000000002</v>
      </c>
      <c r="AI24" s="49">
        <v>300</v>
      </c>
      <c r="AJ24" s="59">
        <v>0.45579999999999998</v>
      </c>
      <c r="AK24" s="59">
        <v>0.33979999999999999</v>
      </c>
      <c r="AL24" s="59">
        <v>0.4617</v>
      </c>
      <c r="AM24" s="59">
        <v>0.4617</v>
      </c>
      <c r="AN24" s="59">
        <v>0.7006</v>
      </c>
      <c r="AO24" s="49">
        <v>0.49170000000000003</v>
      </c>
      <c r="AP24" s="59">
        <v>3.5752000000000002</v>
      </c>
      <c r="AQ24" s="59">
        <v>0</v>
      </c>
      <c r="AR24" s="59">
        <v>-0.78820000000000001</v>
      </c>
      <c r="AS24" s="59">
        <v>1.2909999999999999</v>
      </c>
      <c r="AT24" s="49">
        <v>800</v>
      </c>
    </row>
    <row r="25" spans="1:46" ht="15.75" customHeight="1" x14ac:dyDescent="0.45">
      <c r="A25" s="49">
        <v>4</v>
      </c>
      <c r="B25" s="60">
        <v>1.06</v>
      </c>
      <c r="C25" s="108">
        <v>-2.1</v>
      </c>
      <c r="D25" s="108">
        <v>-0.5</v>
      </c>
      <c r="E25" s="49">
        <v>50</v>
      </c>
      <c r="F25" s="59">
        <v>0.21540000000000001</v>
      </c>
      <c r="G25" s="59">
        <v>0.26950000000000002</v>
      </c>
      <c r="H25" s="59">
        <v>-4.2465999999999999</v>
      </c>
      <c r="I25" s="59">
        <v>7.3200000000000001E-2</v>
      </c>
      <c r="J25" s="59">
        <v>-0.10199999999999999</v>
      </c>
      <c r="K25" s="59">
        <v>-7.3200000000000001E-2</v>
      </c>
      <c r="L25" s="59">
        <v>0.10199999999999999</v>
      </c>
      <c r="M25" s="59">
        <v>1.8956999999999999</v>
      </c>
      <c r="N25" s="59">
        <v>6.1551999999999998</v>
      </c>
      <c r="O25" s="59">
        <v>2.9058000000000002</v>
      </c>
      <c r="P25" s="59">
        <v>7.5818000000000003</v>
      </c>
      <c r="Q25" s="59">
        <v>3.8369</v>
      </c>
      <c r="R25" s="59">
        <v>0.45</v>
      </c>
      <c r="S25" s="59">
        <v>6.1999999999999998E-3</v>
      </c>
      <c r="T25" s="59">
        <v>-4.48E-2</v>
      </c>
      <c r="U25" s="59">
        <v>6.8034999999999997</v>
      </c>
      <c r="V25" s="59">
        <v>8.6E-3</v>
      </c>
      <c r="W25" s="59">
        <v>0.1</v>
      </c>
      <c r="X25" s="59">
        <v>6.5</v>
      </c>
      <c r="Y25" s="59">
        <v>0</v>
      </c>
      <c r="Z25" s="59">
        <v>-0.10009999999999999</v>
      </c>
      <c r="AA25" s="248">
        <v>-1.0839999999999999E-3</v>
      </c>
      <c r="AB25" s="248">
        <v>-3.5660000000000002E-3</v>
      </c>
      <c r="AC25" s="59">
        <v>3.7443</v>
      </c>
      <c r="AD25" s="59">
        <v>-1.0603</v>
      </c>
      <c r="AE25" s="59">
        <v>-1.6000000000000001E-3</v>
      </c>
      <c r="AF25" s="248">
        <v>-1.523E-3</v>
      </c>
      <c r="AG25" s="248">
        <v>5.3790000000000001E-3</v>
      </c>
      <c r="AH25" s="59">
        <v>0.309</v>
      </c>
      <c r="AI25" s="49">
        <v>300</v>
      </c>
      <c r="AJ25" s="59">
        <v>0.45739999999999997</v>
      </c>
      <c r="AK25" s="59">
        <v>0.34189999999999998</v>
      </c>
      <c r="AL25" s="59">
        <v>0.45710000000000001</v>
      </c>
      <c r="AM25" s="59">
        <v>0.45710000000000001</v>
      </c>
      <c r="AN25" s="59">
        <v>0.70009999999999994</v>
      </c>
      <c r="AO25" s="49">
        <v>0.46820000000000001</v>
      </c>
      <c r="AP25" s="59">
        <v>3.8645999999999998</v>
      </c>
      <c r="AQ25" s="59">
        <v>0</v>
      </c>
      <c r="AR25" s="59">
        <v>-0.71950000000000003</v>
      </c>
      <c r="AS25" s="59">
        <v>1.387</v>
      </c>
      <c r="AT25" s="49">
        <v>800</v>
      </c>
    </row>
    <row r="26" spans="1:46" ht="15.75" customHeight="1" x14ac:dyDescent="0.45">
      <c r="A26" s="49">
        <v>5</v>
      </c>
      <c r="B26" s="60">
        <v>1.06</v>
      </c>
      <c r="C26" s="108">
        <v>-2.1</v>
      </c>
      <c r="D26" s="108">
        <v>-0.5</v>
      </c>
      <c r="E26" s="49">
        <v>50</v>
      </c>
      <c r="F26" s="59">
        <v>0.21540000000000001</v>
      </c>
      <c r="G26" s="59">
        <v>0.26950000000000002</v>
      </c>
      <c r="H26" s="59">
        <v>-4.5143000000000004</v>
      </c>
      <c r="I26" s="59">
        <v>4.8399999999999999E-2</v>
      </c>
      <c r="J26" s="59">
        <v>-0.10100000000000001</v>
      </c>
      <c r="K26" s="59">
        <v>-4.8399999999999999E-2</v>
      </c>
      <c r="L26" s="59">
        <v>0.10100000000000001</v>
      </c>
      <c r="M26" s="59">
        <v>1.7228000000000001</v>
      </c>
      <c r="N26" s="59">
        <v>6.2855999999999996</v>
      </c>
      <c r="O26" s="59">
        <v>2.9169</v>
      </c>
      <c r="P26" s="59">
        <v>7.5818000000000003</v>
      </c>
      <c r="Q26" s="59">
        <v>3.8376000000000001</v>
      </c>
      <c r="R26" s="59">
        <v>0.45</v>
      </c>
      <c r="S26" s="59">
        <v>2.8999999999999998E-3</v>
      </c>
      <c r="T26" s="59">
        <v>-4.24E-2</v>
      </c>
      <c r="U26" s="59">
        <v>7.0388999999999999</v>
      </c>
      <c r="V26" s="59">
        <v>0</v>
      </c>
      <c r="W26" s="59">
        <v>0.1</v>
      </c>
      <c r="X26" s="59">
        <v>6.5</v>
      </c>
      <c r="Y26" s="59">
        <v>0</v>
      </c>
      <c r="Z26" s="59">
        <v>-0.10009999999999999</v>
      </c>
      <c r="AA26" s="248">
        <v>-1.01E-3</v>
      </c>
      <c r="AB26" s="248">
        <v>-3.64E-3</v>
      </c>
      <c r="AC26" s="59">
        <v>3.7090000000000001</v>
      </c>
      <c r="AD26" s="59">
        <v>-0.98719999999999997</v>
      </c>
      <c r="AE26" s="59">
        <v>0</v>
      </c>
      <c r="AF26" s="248">
        <v>-1.4400000000000001E-3</v>
      </c>
      <c r="AG26" s="248">
        <v>3.2230000000000002E-3</v>
      </c>
      <c r="AH26" s="59">
        <v>0.32100000000000001</v>
      </c>
      <c r="AI26" s="49">
        <v>300</v>
      </c>
      <c r="AJ26" s="59">
        <v>0.45839999999999997</v>
      </c>
      <c r="AK26" s="59">
        <v>0.34350000000000003</v>
      </c>
      <c r="AL26" s="59">
        <v>0.45350000000000001</v>
      </c>
      <c r="AM26" s="59">
        <v>0.45350000000000001</v>
      </c>
      <c r="AN26" s="59">
        <v>0.7</v>
      </c>
      <c r="AO26" s="49">
        <v>0.45169999999999999</v>
      </c>
      <c r="AP26" s="59">
        <v>3.7292000000000001</v>
      </c>
      <c r="AQ26" s="59">
        <v>0</v>
      </c>
      <c r="AR26" s="59">
        <v>-0.65600000000000003</v>
      </c>
      <c r="AS26" s="59">
        <v>1.4330000000000001</v>
      </c>
      <c r="AT26" s="49">
        <v>800</v>
      </c>
    </row>
    <row r="27" spans="1:46" ht="15.75" customHeight="1" x14ac:dyDescent="0.45">
      <c r="A27" s="49">
        <v>7.5</v>
      </c>
      <c r="B27" s="60">
        <v>1.06</v>
      </c>
      <c r="C27" s="108">
        <v>-2.1</v>
      </c>
      <c r="D27" s="108">
        <v>-0.5</v>
      </c>
      <c r="E27" s="49">
        <v>50</v>
      </c>
      <c r="F27" s="59">
        <v>0.21540000000000001</v>
      </c>
      <c r="G27" s="59">
        <v>0.26950000000000002</v>
      </c>
      <c r="H27" s="59">
        <v>-5.0008999999999997</v>
      </c>
      <c r="I27" s="59">
        <v>2.1999999999999999E-2</v>
      </c>
      <c r="J27" s="59">
        <v>-0.10100000000000001</v>
      </c>
      <c r="K27" s="59">
        <v>-2.1999999999999999E-2</v>
      </c>
      <c r="L27" s="59">
        <v>0.10100000000000001</v>
      </c>
      <c r="M27" s="59">
        <v>1.5737000000000001</v>
      </c>
      <c r="N27" s="59">
        <v>6.5427999999999997</v>
      </c>
      <c r="O27" s="59">
        <v>2.9319999999999999</v>
      </c>
      <c r="P27" s="59">
        <v>7.5818000000000003</v>
      </c>
      <c r="Q27" s="59">
        <v>3.8380000000000001</v>
      </c>
      <c r="R27" s="59">
        <v>0.45</v>
      </c>
      <c r="S27" s="59">
        <v>6.9999999999999999E-4</v>
      </c>
      <c r="T27" s="59">
        <v>-3.4799999999999998E-2</v>
      </c>
      <c r="U27" s="59">
        <v>7.4665999999999997</v>
      </c>
      <c r="V27" s="59">
        <v>0</v>
      </c>
      <c r="W27" s="59">
        <v>0.1</v>
      </c>
      <c r="X27" s="59">
        <v>6.5</v>
      </c>
      <c r="Y27" s="59">
        <v>0</v>
      </c>
      <c r="Z27" s="59">
        <v>-0.1</v>
      </c>
      <c r="AA27" s="248">
        <v>-9.6400000000000001E-4</v>
      </c>
      <c r="AB27" s="248">
        <v>-3.686E-3</v>
      </c>
      <c r="AC27" s="59">
        <v>3.6631999999999998</v>
      </c>
      <c r="AD27" s="59">
        <v>-0.82740000000000002</v>
      </c>
      <c r="AE27" s="59">
        <v>0</v>
      </c>
      <c r="AF27" s="248">
        <v>-1.369E-3</v>
      </c>
      <c r="AG27" s="248">
        <v>1.134E-3</v>
      </c>
      <c r="AH27" s="59">
        <v>0.32900000000000001</v>
      </c>
      <c r="AI27" s="49">
        <v>300</v>
      </c>
      <c r="AJ27" s="59">
        <v>0.46010000000000001</v>
      </c>
      <c r="AK27" s="59">
        <v>0.34589999999999999</v>
      </c>
      <c r="AL27" s="59">
        <v>0.4471</v>
      </c>
      <c r="AM27" s="59">
        <v>0.4471</v>
      </c>
      <c r="AN27" s="59">
        <v>0.7</v>
      </c>
      <c r="AO27" s="49">
        <v>0.41670000000000001</v>
      </c>
      <c r="AP27" s="59">
        <v>2.3763000000000001</v>
      </c>
      <c r="AQ27" s="59">
        <v>0</v>
      </c>
      <c r="AR27" s="59">
        <v>-0.5202</v>
      </c>
      <c r="AS27" s="59">
        <v>1.46</v>
      </c>
      <c r="AT27" s="49">
        <v>800</v>
      </c>
    </row>
    <row r="28" spans="1:46" ht="15.75" customHeight="1" x14ac:dyDescent="0.45">
      <c r="A28" s="49">
        <v>10</v>
      </c>
      <c r="B28" s="60">
        <v>1.06</v>
      </c>
      <c r="C28" s="108">
        <v>-2.1</v>
      </c>
      <c r="D28" s="108">
        <v>-0.5</v>
      </c>
      <c r="E28" s="49">
        <v>50</v>
      </c>
      <c r="F28" s="59">
        <v>0.21540000000000001</v>
      </c>
      <c r="G28" s="59">
        <v>0.26950000000000002</v>
      </c>
      <c r="H28" s="59">
        <v>-5.3460999999999999</v>
      </c>
      <c r="I28" s="59">
        <v>1.24E-2</v>
      </c>
      <c r="J28" s="59">
        <v>-0.1</v>
      </c>
      <c r="K28" s="59">
        <v>-1.24E-2</v>
      </c>
      <c r="L28" s="59">
        <v>0.1</v>
      </c>
      <c r="M28" s="59">
        <v>1.5265</v>
      </c>
      <c r="N28" s="59">
        <v>6.7415000000000003</v>
      </c>
      <c r="O28" s="59">
        <v>2.9396</v>
      </c>
      <c r="P28" s="59">
        <v>7.5818000000000003</v>
      </c>
      <c r="Q28" s="59">
        <v>3.8380000000000001</v>
      </c>
      <c r="R28" s="59">
        <v>0.45</v>
      </c>
      <c r="S28" s="59">
        <v>2.9999999999999997E-4</v>
      </c>
      <c r="T28" s="59">
        <v>-2.53E-2</v>
      </c>
      <c r="U28" s="59">
        <v>7.77</v>
      </c>
      <c r="V28" s="59">
        <v>0</v>
      </c>
      <c r="W28" s="59">
        <v>0.1</v>
      </c>
      <c r="X28" s="59">
        <v>6.5</v>
      </c>
      <c r="Y28" s="59">
        <v>0</v>
      </c>
      <c r="Z28" s="59">
        <v>-0.1</v>
      </c>
      <c r="AA28" s="248">
        <v>-9.5E-4</v>
      </c>
      <c r="AB28" s="248">
        <v>-3.7000000000000002E-3</v>
      </c>
      <c r="AC28" s="59">
        <v>3.6230000000000002</v>
      </c>
      <c r="AD28" s="59">
        <v>-0.70530000000000004</v>
      </c>
      <c r="AE28" s="59">
        <v>0</v>
      </c>
      <c r="AF28" s="248">
        <v>-1.361E-3</v>
      </c>
      <c r="AG28" s="248">
        <v>5.1500000000000005E-4</v>
      </c>
      <c r="AH28" s="59">
        <v>0.33</v>
      </c>
      <c r="AI28" s="49">
        <v>300</v>
      </c>
      <c r="AJ28" s="59">
        <v>0.4612</v>
      </c>
      <c r="AK28" s="59">
        <v>0.34739999999999999</v>
      </c>
      <c r="AL28" s="59">
        <v>0.44259999999999999</v>
      </c>
      <c r="AM28" s="59">
        <v>0.44259999999999999</v>
      </c>
      <c r="AN28" s="59">
        <v>0.7</v>
      </c>
      <c r="AO28" s="49">
        <v>0.3755</v>
      </c>
      <c r="AP28" s="59">
        <v>1.7679</v>
      </c>
      <c r="AQ28" s="59">
        <v>0</v>
      </c>
      <c r="AR28" s="59">
        <v>-0.40679999999999999</v>
      </c>
      <c r="AS28" s="59">
        <v>1.464</v>
      </c>
      <c r="AT28" s="49">
        <v>800</v>
      </c>
    </row>
    <row r="29" spans="1:46" ht="15.75" customHeight="1" x14ac:dyDescent="0.45">
      <c r="A29" s="49">
        <v>0</v>
      </c>
      <c r="B29" s="60">
        <f>B5</f>
        <v>1.06</v>
      </c>
      <c r="C29" s="108">
        <f t="shared" ref="C29:AI29" si="0">C5</f>
        <v>-2.1</v>
      </c>
      <c r="D29" s="108">
        <f t="shared" si="0"/>
        <v>-0.5</v>
      </c>
      <c r="E29" s="49">
        <f t="shared" si="0"/>
        <v>50</v>
      </c>
      <c r="F29" s="59">
        <v>0</v>
      </c>
      <c r="G29" s="59">
        <f t="shared" si="0"/>
        <v>0.26950000000000002</v>
      </c>
      <c r="H29" s="59">
        <v>-1.5065</v>
      </c>
      <c r="I29" s="59">
        <v>0.16500000000000001</v>
      </c>
      <c r="J29" s="59">
        <v>-0.255</v>
      </c>
      <c r="K29" s="59">
        <v>-0.16500000000000001</v>
      </c>
      <c r="L29" s="59">
        <v>0.255</v>
      </c>
      <c r="M29" s="59">
        <v>16.087499999999999</v>
      </c>
      <c r="N29" s="59">
        <v>4.9992999999999999</v>
      </c>
      <c r="O29" s="59">
        <v>1.9636</v>
      </c>
      <c r="P29" s="59">
        <v>6.4550999999999998</v>
      </c>
      <c r="Q29" s="59">
        <v>3.0956000000000001</v>
      </c>
      <c r="R29" s="59">
        <v>0.49080000000000001</v>
      </c>
      <c r="S29" s="59">
        <v>3.5200000000000002E-2</v>
      </c>
      <c r="T29" s="59">
        <v>4.6199999999999998E-2</v>
      </c>
      <c r="U29" s="59">
        <v>0.48330000000000001</v>
      </c>
      <c r="V29" s="59">
        <v>0.92279999999999995</v>
      </c>
      <c r="W29" s="59">
        <v>0.1202</v>
      </c>
      <c r="X29" s="59">
        <v>6.8606999999999996</v>
      </c>
      <c r="Y29" s="59">
        <f t="shared" si="0"/>
        <v>0</v>
      </c>
      <c r="Z29" s="59">
        <v>-0.4536</v>
      </c>
      <c r="AA29" s="248">
        <v>-7.1459999999999996E-3</v>
      </c>
      <c r="AB29" s="248">
        <v>-6.7580000000000001E-3</v>
      </c>
      <c r="AC29" s="59">
        <v>4.2542</v>
      </c>
      <c r="AD29" s="59">
        <v>-0.52100000000000002</v>
      </c>
      <c r="AE29" s="59">
        <v>-0.14169999999999999</v>
      </c>
      <c r="AF29" s="248">
        <v>-7.0099999999999997E-3</v>
      </c>
      <c r="AG29" s="248">
        <v>0.10215100000000001</v>
      </c>
      <c r="AH29" s="59">
        <v>0</v>
      </c>
      <c r="AI29" s="49">
        <f t="shared" si="0"/>
        <v>300</v>
      </c>
      <c r="AJ29" s="59">
        <v>0.4</v>
      </c>
      <c r="AK29" s="59">
        <v>0.26</v>
      </c>
      <c r="AL29" s="59">
        <v>0.49120000000000003</v>
      </c>
      <c r="AM29" s="59">
        <v>0.37619999999999998</v>
      </c>
      <c r="AN29" s="59">
        <v>0.8</v>
      </c>
      <c r="AO29" s="49">
        <v>0.45279999999999998</v>
      </c>
      <c r="AP29" s="59">
        <v>1.5817000000000001</v>
      </c>
      <c r="AQ29" s="59">
        <v>0.75939999999999996</v>
      </c>
      <c r="AR29" s="59">
        <v>-0.68459999999999999</v>
      </c>
      <c r="AS29" s="59">
        <v>0.45900000000000002</v>
      </c>
      <c r="AT29" s="49">
        <f t="shared" ref="AT29" si="1">AT5</f>
        <v>800</v>
      </c>
    </row>
    <row r="30" spans="1:46" x14ac:dyDescent="0.45">
      <c r="A30" s="49">
        <v>-1</v>
      </c>
      <c r="B30" s="60">
        <v>1.06</v>
      </c>
      <c r="C30" s="108">
        <v>-2.1</v>
      </c>
      <c r="D30" s="108">
        <v>-0.5</v>
      </c>
      <c r="E30" s="49">
        <v>50</v>
      </c>
      <c r="F30" s="59">
        <v>0.21540000000000001</v>
      </c>
      <c r="G30" s="59">
        <v>0.26950000000000002</v>
      </c>
      <c r="H30" s="59">
        <v>2.3549000000000002</v>
      </c>
      <c r="I30" s="59">
        <v>0.16500000000000001</v>
      </c>
      <c r="J30" s="59">
        <v>-6.2600000000000003E-2</v>
      </c>
      <c r="K30" s="59">
        <v>-0.16500000000000001</v>
      </c>
      <c r="L30" s="59">
        <v>6.2600000000000003E-2</v>
      </c>
      <c r="M30" s="59">
        <v>3.3024</v>
      </c>
      <c r="N30" s="59">
        <v>5.423</v>
      </c>
      <c r="O30" s="59">
        <v>2.3151999999999999</v>
      </c>
      <c r="P30" s="59">
        <v>5.8095999999999997</v>
      </c>
      <c r="Q30" s="59">
        <v>3.0514000000000001</v>
      </c>
      <c r="R30" s="59">
        <v>0.44069999999999998</v>
      </c>
      <c r="S30" s="59">
        <v>3.2399999999999998E-2</v>
      </c>
      <c r="T30" s="59">
        <v>9.7000000000000003E-3</v>
      </c>
      <c r="U30" s="59">
        <v>5</v>
      </c>
      <c r="V30" s="59">
        <v>0.30790000000000001</v>
      </c>
      <c r="W30" s="59">
        <v>0.1</v>
      </c>
      <c r="X30" s="59">
        <v>6.5</v>
      </c>
      <c r="Y30" s="59">
        <v>0</v>
      </c>
      <c r="Z30" s="59">
        <v>-0.38340000000000002</v>
      </c>
      <c r="AA30" s="248">
        <v>-1.8519999999999999E-3</v>
      </c>
      <c r="AB30" s="248">
        <v>-7.4029999999999999E-3</v>
      </c>
      <c r="AC30" s="59">
        <v>4.3438999999999997</v>
      </c>
      <c r="AD30" s="59">
        <v>-0.79359999999999997</v>
      </c>
      <c r="AE30" s="59">
        <v>-6.9900000000000004E-2</v>
      </c>
      <c r="AF30" s="248">
        <v>-8.4440000000000001E-3</v>
      </c>
      <c r="AG30" s="248">
        <v>5.41</v>
      </c>
      <c r="AH30" s="59">
        <v>2.0199999999999999E-2</v>
      </c>
      <c r="AI30" s="49">
        <v>300</v>
      </c>
      <c r="AJ30" s="59">
        <v>0.38940000000000002</v>
      </c>
      <c r="AK30" s="59">
        <v>0.25779999999999997</v>
      </c>
      <c r="AL30" s="59">
        <v>0.47849999999999998</v>
      </c>
      <c r="AM30" s="59">
        <v>0.36292000000000002</v>
      </c>
      <c r="AN30" s="59">
        <v>0.75039999999999996</v>
      </c>
      <c r="AO30" s="49">
        <v>0.39179999999999998</v>
      </c>
      <c r="AP30" s="59">
        <v>2.2305999999999999</v>
      </c>
      <c r="AQ30" s="59">
        <v>0.33500000000000002</v>
      </c>
      <c r="AR30" s="59">
        <v>-0.79659999999999997</v>
      </c>
      <c r="AS30" s="59">
        <v>0.94879999999999998</v>
      </c>
      <c r="AT30" s="49">
        <v>800</v>
      </c>
    </row>
    <row r="31" spans="1:46" x14ac:dyDescent="0.45">
      <c r="AA31" s="248"/>
    </row>
  </sheetData>
  <sheetProtection password="EDF4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V82"/>
  <sheetViews>
    <sheetView topLeftCell="A3" workbookViewId="0">
      <selection activeCell="A3" sqref="A1:XFD1048576"/>
    </sheetView>
  </sheetViews>
  <sheetFormatPr defaultColWidth="8.86328125" defaultRowHeight="14.25" x14ac:dyDescent="0.45"/>
  <cols>
    <col min="1" max="1" width="12.1328125" style="50" customWidth="1"/>
    <col min="2" max="2" width="16" style="50" customWidth="1"/>
    <col min="3" max="3" width="11.1328125" style="29" customWidth="1"/>
    <col min="4" max="4" width="8.86328125" style="49"/>
    <col min="5" max="9" width="9.1328125" style="49" hidden="1" customWidth="1"/>
    <col min="10" max="10" width="10" style="49" hidden="1" customWidth="1"/>
    <col min="11" max="11" width="9.265625" style="49" hidden="1" customWidth="1"/>
    <col min="12" max="13" width="11.3984375" style="32" customWidth="1"/>
  </cols>
  <sheetData>
    <row r="1" spans="1:21" x14ac:dyDescent="0.45">
      <c r="A1" s="38" t="s">
        <v>425</v>
      </c>
      <c r="B1" s="109"/>
      <c r="C1" s="109"/>
      <c r="D1" s="109"/>
      <c r="E1" s="109"/>
      <c r="F1" s="109"/>
      <c r="G1" s="109"/>
      <c r="H1" s="109"/>
      <c r="I1" s="109"/>
      <c r="J1" s="109"/>
      <c r="K1" s="20"/>
      <c r="L1" s="130"/>
      <c r="M1" s="130"/>
      <c r="N1" s="109"/>
      <c r="O1" s="109"/>
      <c r="P1" s="109"/>
      <c r="Q1" s="109"/>
      <c r="R1" s="109"/>
      <c r="S1" s="109"/>
      <c r="T1" s="109"/>
      <c r="U1" s="109"/>
    </row>
    <row r="2" spans="1:21" x14ac:dyDescent="0.45">
      <c r="A2" s="74"/>
      <c r="B2" s="74"/>
      <c r="C2" s="5"/>
      <c r="D2" s="70"/>
      <c r="E2" s="70"/>
      <c r="F2" s="70"/>
      <c r="G2" s="70"/>
      <c r="H2" s="70"/>
      <c r="I2" s="70"/>
      <c r="J2" s="70"/>
    </row>
    <row r="3" spans="1:21" ht="29.25" customHeight="1" x14ac:dyDescent="0.5">
      <c r="A3" s="174" t="s">
        <v>383</v>
      </c>
      <c r="B3" s="174" t="s">
        <v>382</v>
      </c>
      <c r="C3" s="109"/>
      <c r="D3" s="109"/>
      <c r="E3" s="109"/>
      <c r="F3" s="109"/>
      <c r="G3" s="109"/>
      <c r="H3" s="109"/>
      <c r="I3" s="109"/>
      <c r="J3" s="109"/>
      <c r="K3" s="20"/>
      <c r="L3" s="131" t="s">
        <v>424</v>
      </c>
      <c r="M3" s="130"/>
    </row>
    <row r="4" spans="1:21" ht="17.25" customHeight="1" x14ac:dyDescent="0.45">
      <c r="A4" s="74"/>
      <c r="B4" s="74"/>
      <c r="C4" s="5"/>
      <c r="D4" s="70"/>
      <c r="E4" s="70"/>
      <c r="F4" s="70"/>
      <c r="G4" s="70"/>
      <c r="H4" s="70"/>
      <c r="I4" s="70"/>
      <c r="L4" s="394" t="s">
        <v>264</v>
      </c>
      <c r="M4" s="394"/>
    </row>
    <row r="5" spans="1:21" ht="17.25" customHeight="1" x14ac:dyDescent="0.45">
      <c r="A5" s="75" t="s">
        <v>0</v>
      </c>
      <c r="B5" s="81"/>
      <c r="C5" s="20" t="s">
        <v>20</v>
      </c>
      <c r="D5" s="21" t="s">
        <v>21</v>
      </c>
      <c r="E5" s="21"/>
      <c r="F5" s="21"/>
      <c r="G5" s="21"/>
      <c r="H5" s="21"/>
      <c r="I5" s="21"/>
      <c r="J5" s="81"/>
      <c r="K5" s="37"/>
      <c r="L5" s="101" t="s">
        <v>25</v>
      </c>
      <c r="M5" s="128" t="s">
        <v>32</v>
      </c>
    </row>
    <row r="6" spans="1:21" ht="15" customHeight="1" x14ac:dyDescent="0.45">
      <c r="A6" s="69">
        <f>Main!B24</f>
        <v>8.1</v>
      </c>
      <c r="B6" s="85" t="str">
        <f>IF($A$6&lt;5, "! Not Applicable !", "")</f>
        <v/>
      </c>
      <c r="C6" s="393" t="s">
        <v>431</v>
      </c>
      <c r="D6" s="71">
        <v>0.01</v>
      </c>
      <c r="E6" s="72"/>
      <c r="F6" s="72"/>
      <c r="G6" s="72"/>
      <c r="H6" s="72"/>
      <c r="I6" s="72"/>
      <c r="J6" s="106"/>
      <c r="K6" s="72"/>
      <c r="L6" s="246">
        <f>I_14($A$6,$A$9,$A$15,$A$12,D6)</f>
        <v>0.69499947301637521</v>
      </c>
      <c r="M6" s="246">
        <f>I_14_stdev($A$6,D6)</f>
        <v>0.62514937042561025</v>
      </c>
    </row>
    <row r="7" spans="1:21" ht="15" customHeight="1" x14ac:dyDescent="0.45">
      <c r="A7" s="69"/>
      <c r="B7" s="81"/>
      <c r="C7" s="393"/>
      <c r="D7" s="71">
        <v>0.02</v>
      </c>
      <c r="E7" s="72"/>
      <c r="F7" s="72"/>
      <c r="G7" s="72"/>
      <c r="H7" s="72"/>
      <c r="I7" s="72"/>
      <c r="J7" s="106"/>
      <c r="K7" s="72"/>
      <c r="L7" s="246">
        <f t="shared" ref="L7:L26" si="0">I_14($A$6,$A$9,$A$15,$A$12,D7)</f>
        <v>0.71402008151461716</v>
      </c>
      <c r="M7" s="246">
        <f t="shared" ref="M7:M26" si="1">I_14_stdev($A$6,D7)</f>
        <v>0.62514937042561025</v>
      </c>
    </row>
    <row r="8" spans="1:21" ht="15" customHeight="1" x14ac:dyDescent="0.45">
      <c r="A8" s="46" t="s">
        <v>287</v>
      </c>
      <c r="B8" s="81"/>
      <c r="C8" s="393"/>
      <c r="D8" s="71">
        <v>0.03</v>
      </c>
      <c r="E8" s="72"/>
      <c r="F8" s="72"/>
      <c r="G8" s="72"/>
      <c r="H8" s="72"/>
      <c r="I8" s="72"/>
      <c r="J8" s="106"/>
      <c r="K8" s="72"/>
      <c r="L8" s="246">
        <f t="shared" si="0"/>
        <v>0.78360971767528909</v>
      </c>
      <c r="M8" s="246">
        <f t="shared" si="1"/>
        <v>0.62514937042561025</v>
      </c>
    </row>
    <row r="9" spans="1:21" ht="15" customHeight="1" x14ac:dyDescent="0.45">
      <c r="A9" s="69">
        <f>Main!B27</f>
        <v>15.08</v>
      </c>
      <c r="B9" s="85" t="str">
        <f>IF($A$9&gt;150, "! Not Applicable !", "")</f>
        <v/>
      </c>
      <c r="C9" s="393"/>
      <c r="D9" s="71">
        <v>0.05</v>
      </c>
      <c r="E9" s="72"/>
      <c r="F9" s="72"/>
      <c r="G9" s="72"/>
      <c r="H9" s="72"/>
      <c r="I9" s="72"/>
      <c r="J9" s="106"/>
      <c r="K9" s="72"/>
      <c r="L9" s="246">
        <f t="shared" si="0"/>
        <v>0.71087462502212584</v>
      </c>
      <c r="M9" s="246">
        <f t="shared" si="1"/>
        <v>0.62514937042561025</v>
      </c>
    </row>
    <row r="10" spans="1:21" ht="15" customHeight="1" x14ac:dyDescent="0.45">
      <c r="A10" s="69"/>
      <c r="B10" s="81"/>
      <c r="C10" s="393"/>
      <c r="D10" s="71">
        <v>7.4999999999999997E-2</v>
      </c>
      <c r="E10" s="72"/>
      <c r="F10" s="72"/>
      <c r="G10" s="72"/>
      <c r="H10" s="72"/>
      <c r="I10" s="72"/>
      <c r="J10" s="106"/>
      <c r="K10" s="72"/>
      <c r="L10" s="246">
        <f t="shared" si="0"/>
        <v>0.90181800711940063</v>
      </c>
      <c r="M10" s="246">
        <f t="shared" si="1"/>
        <v>0.63934064920939604</v>
      </c>
    </row>
    <row r="11" spans="1:21" ht="15" customHeight="1" x14ac:dyDescent="0.45">
      <c r="A11" s="46" t="s">
        <v>205</v>
      </c>
      <c r="B11" s="81"/>
      <c r="C11" s="393"/>
      <c r="D11" s="45">
        <v>0.1</v>
      </c>
      <c r="E11" s="72"/>
      <c r="F11" s="72"/>
      <c r="G11" s="72"/>
      <c r="H11" s="72"/>
      <c r="I11" s="72"/>
      <c r="J11" s="106"/>
      <c r="K11" s="72"/>
      <c r="L11" s="246">
        <f t="shared" si="0"/>
        <v>1.0953969217958202</v>
      </c>
      <c r="M11" s="246">
        <f t="shared" si="1"/>
        <v>0.64940952174520838</v>
      </c>
    </row>
    <row r="12" spans="1:21" ht="15" customHeight="1" x14ac:dyDescent="0.45">
      <c r="A12" s="70">
        <f>Main!B39</f>
        <v>360</v>
      </c>
      <c r="B12" s="81" t="str">
        <f>IF($A$12&lt;450,"! Not Applicable !","")</f>
        <v>! Not Applicable !</v>
      </c>
      <c r="C12" s="393"/>
      <c r="D12" s="45">
        <v>0.15</v>
      </c>
      <c r="E12" s="72"/>
      <c r="F12" s="72"/>
      <c r="G12" s="72"/>
      <c r="H12" s="72"/>
      <c r="I12" s="72"/>
      <c r="J12" s="106"/>
      <c r="K12" s="72"/>
      <c r="L12" s="246">
        <f t="shared" si="0"/>
        <v>1.3113655342988222</v>
      </c>
      <c r="M12" s="246">
        <f t="shared" si="1"/>
        <v>0.66360080052899406</v>
      </c>
    </row>
    <row r="13" spans="1:21" ht="15" customHeight="1" x14ac:dyDescent="0.45">
      <c r="A13" s="76"/>
      <c r="B13" s="81"/>
      <c r="C13" s="393"/>
      <c r="D13" s="45">
        <v>0.2</v>
      </c>
      <c r="E13" s="72"/>
      <c r="F13" s="72"/>
      <c r="G13" s="72"/>
      <c r="H13" s="72"/>
      <c r="I13" s="72"/>
      <c r="J13" s="106"/>
      <c r="K13" s="72"/>
      <c r="L13" s="246">
        <f t="shared" si="0"/>
        <v>1.2220129304179406</v>
      </c>
      <c r="M13" s="246">
        <f t="shared" si="1"/>
        <v>0.67366967306480641</v>
      </c>
    </row>
    <row r="14" spans="1:21" ht="15" customHeight="1" x14ac:dyDescent="0.45">
      <c r="A14" s="46" t="s">
        <v>204</v>
      </c>
      <c r="B14" s="81"/>
      <c r="C14" s="393"/>
      <c r="D14" s="45">
        <v>0.25</v>
      </c>
      <c r="E14" s="72"/>
      <c r="F14" s="72"/>
      <c r="G14" s="72"/>
      <c r="H14" s="72"/>
      <c r="I14" s="72"/>
      <c r="J14" s="106"/>
      <c r="K14" s="72"/>
      <c r="L14" s="246">
        <f t="shared" si="0"/>
        <v>1.0988992554929895</v>
      </c>
      <c r="M14" s="246">
        <f t="shared" si="1"/>
        <v>0.68147969736080383</v>
      </c>
    </row>
    <row r="15" spans="1:21" ht="15" customHeight="1" x14ac:dyDescent="0.45">
      <c r="A15" s="70">
        <f>Main!B45</f>
        <v>0</v>
      </c>
      <c r="B15" s="85" t="str">
        <f>IF($A$15=1,"1: reverse fault","")</f>
        <v/>
      </c>
      <c r="C15" s="393"/>
      <c r="D15" s="45">
        <v>0.3</v>
      </c>
      <c r="E15" s="72"/>
      <c r="F15" s="72"/>
      <c r="G15" s="72"/>
      <c r="H15" s="72"/>
      <c r="I15" s="72"/>
      <c r="J15" s="106"/>
      <c r="K15" s="72"/>
      <c r="L15" s="246">
        <f t="shared" si="0"/>
        <v>0.91541716765063896</v>
      </c>
      <c r="M15" s="246">
        <f t="shared" si="1"/>
        <v>0.68786095184859219</v>
      </c>
    </row>
    <row r="16" spans="1:21" ht="15" customHeight="1" x14ac:dyDescent="0.45">
      <c r="C16" s="393"/>
      <c r="D16" s="45">
        <v>0.4</v>
      </c>
      <c r="E16" s="72"/>
      <c r="F16" s="72"/>
      <c r="G16" s="72"/>
      <c r="H16" s="72"/>
      <c r="I16" s="72"/>
      <c r="J16" s="106"/>
      <c r="K16" s="72"/>
      <c r="L16" s="246">
        <f t="shared" si="0"/>
        <v>0.75189259508688788</v>
      </c>
      <c r="M16" s="246">
        <f t="shared" si="1"/>
        <v>0.69792982438440454</v>
      </c>
    </row>
    <row r="17" spans="1:22" ht="15" customHeight="1" x14ac:dyDescent="0.45">
      <c r="C17" s="393"/>
      <c r="D17" s="45">
        <v>0.5</v>
      </c>
      <c r="E17" s="72"/>
      <c r="F17" s="72"/>
      <c r="G17" s="72"/>
      <c r="H17" s="72"/>
      <c r="I17" s="72"/>
      <c r="J17" s="106"/>
      <c r="K17" s="72"/>
      <c r="L17" s="246">
        <f t="shared" si="0"/>
        <v>0.67256519200536069</v>
      </c>
      <c r="M17" s="246">
        <f t="shared" si="1"/>
        <v>0.70573984868040185</v>
      </c>
    </row>
    <row r="18" spans="1:22" ht="15" customHeight="1" x14ac:dyDescent="0.45">
      <c r="C18" s="393"/>
      <c r="D18" s="45">
        <v>0.75</v>
      </c>
      <c r="E18" s="72"/>
      <c r="F18" s="72"/>
      <c r="G18" s="72"/>
      <c r="H18" s="72"/>
      <c r="I18" s="72"/>
      <c r="J18" s="106"/>
      <c r="K18" s="72"/>
      <c r="L18" s="246">
        <f t="shared" si="0"/>
        <v>0.42651332976071843</v>
      </c>
      <c r="M18" s="246">
        <f t="shared" si="1"/>
        <v>0.71993112746418764</v>
      </c>
    </row>
    <row r="19" spans="1:22" ht="15" customHeight="1" x14ac:dyDescent="0.45">
      <c r="A19" s="74"/>
      <c r="B19" s="81"/>
      <c r="C19" s="393"/>
      <c r="D19" s="73">
        <v>1</v>
      </c>
      <c r="E19" s="72"/>
      <c r="F19" s="72"/>
      <c r="G19" s="72"/>
      <c r="H19" s="72"/>
      <c r="I19" s="72"/>
      <c r="J19" s="106"/>
      <c r="K19" s="72"/>
      <c r="L19" s="246">
        <f t="shared" si="0"/>
        <v>0.32029348447481221</v>
      </c>
      <c r="M19" s="246">
        <f t="shared" si="1"/>
        <v>0.73</v>
      </c>
    </row>
    <row r="20" spans="1:22" ht="15" customHeight="1" x14ac:dyDescent="0.45">
      <c r="A20" s="74"/>
      <c r="B20" s="81"/>
      <c r="C20" s="393"/>
      <c r="D20" s="73">
        <v>1.5</v>
      </c>
      <c r="E20" s="72"/>
      <c r="F20" s="72"/>
      <c r="G20" s="72"/>
      <c r="H20" s="72"/>
      <c r="I20" s="72"/>
      <c r="J20" s="106"/>
      <c r="K20" s="72"/>
      <c r="L20" s="246">
        <f t="shared" si="0"/>
        <v>0.19723887216762293</v>
      </c>
      <c r="M20" s="246">
        <f t="shared" si="1"/>
        <v>0.74419127878378566</v>
      </c>
    </row>
    <row r="21" spans="1:22" ht="15" customHeight="1" x14ac:dyDescent="0.45">
      <c r="A21" s="74"/>
      <c r="B21" s="81"/>
      <c r="C21" s="393"/>
      <c r="D21" s="73">
        <v>2</v>
      </c>
      <c r="E21" s="72"/>
      <c r="F21" s="72"/>
      <c r="G21" s="72"/>
      <c r="H21" s="72"/>
      <c r="I21" s="72"/>
      <c r="J21" s="106"/>
      <c r="K21" s="72"/>
      <c r="L21" s="246">
        <f t="shared" si="0"/>
        <v>0.15226037219519115</v>
      </c>
      <c r="M21" s="246">
        <f t="shared" si="1"/>
        <v>0.754260151319598</v>
      </c>
    </row>
    <row r="22" spans="1:22" ht="15" customHeight="1" x14ac:dyDescent="0.45">
      <c r="A22" s="74"/>
      <c r="B22" s="81"/>
      <c r="C22" s="393"/>
      <c r="D22" s="73">
        <v>3</v>
      </c>
      <c r="E22" s="72"/>
      <c r="F22" s="72"/>
      <c r="G22" s="72"/>
      <c r="H22" s="72"/>
      <c r="I22" s="72"/>
      <c r="J22" s="106"/>
      <c r="K22" s="72"/>
      <c r="L22" s="246">
        <f t="shared" si="0"/>
        <v>0.14468029259444731</v>
      </c>
      <c r="M22" s="246">
        <f t="shared" si="1"/>
        <v>0.76845143010338379</v>
      </c>
    </row>
    <row r="23" spans="1:22" ht="15" customHeight="1" x14ac:dyDescent="0.45">
      <c r="A23" s="74"/>
      <c r="B23" s="81"/>
      <c r="C23" s="393"/>
      <c r="D23" s="73">
        <v>4</v>
      </c>
      <c r="E23" s="72"/>
      <c r="F23" s="72"/>
      <c r="G23" s="72"/>
      <c r="H23" s="72"/>
      <c r="I23" s="72"/>
      <c r="J23" s="106"/>
      <c r="K23" s="72"/>
      <c r="L23" s="246">
        <f t="shared" si="0"/>
        <v>0.12549050750673651</v>
      </c>
      <c r="M23" s="246">
        <f t="shared" si="1"/>
        <v>0.76845143010338379</v>
      </c>
    </row>
    <row r="24" spans="1:22" ht="15" customHeight="1" x14ac:dyDescent="0.45">
      <c r="A24" s="74"/>
      <c r="B24" s="81"/>
      <c r="C24" s="393"/>
      <c r="D24" s="73">
        <v>5</v>
      </c>
      <c r="E24" s="72"/>
      <c r="F24" s="72"/>
      <c r="G24" s="72"/>
      <c r="H24" s="72"/>
      <c r="I24" s="72"/>
      <c r="J24" s="106"/>
      <c r="K24" s="72"/>
      <c r="L24" s="246">
        <f t="shared" si="0"/>
        <v>0.12475439724096617</v>
      </c>
      <c r="M24" s="246">
        <f t="shared" si="1"/>
        <v>0.76845143010338379</v>
      </c>
    </row>
    <row r="25" spans="1:22" ht="15" customHeight="1" x14ac:dyDescent="0.45">
      <c r="A25" s="74"/>
      <c r="B25" s="81"/>
      <c r="C25" s="393"/>
      <c r="D25" s="73">
        <v>7.5</v>
      </c>
      <c r="E25" s="72"/>
      <c r="F25" s="72"/>
      <c r="G25" s="72"/>
      <c r="H25" s="72"/>
      <c r="I25" s="72"/>
      <c r="J25" s="106"/>
      <c r="K25" s="72"/>
      <c r="L25" s="246">
        <f t="shared" si="0"/>
        <v>9.4348025743598601E-2</v>
      </c>
      <c r="M25" s="246">
        <f t="shared" si="1"/>
        <v>0.76845143010338379</v>
      </c>
    </row>
    <row r="26" spans="1:22" ht="15" customHeight="1" x14ac:dyDescent="0.45">
      <c r="A26" s="74"/>
      <c r="B26" s="81"/>
      <c r="C26" s="393"/>
      <c r="D26" s="73">
        <v>10</v>
      </c>
      <c r="E26" s="72"/>
      <c r="F26" s="72"/>
      <c r="G26" s="72"/>
      <c r="H26" s="72"/>
      <c r="I26" s="72"/>
      <c r="J26" s="106"/>
      <c r="K26" s="72"/>
      <c r="L26" s="246">
        <f t="shared" si="0"/>
        <v>6.2812897140002655E-2</v>
      </c>
      <c r="M26" s="246">
        <f t="shared" si="1"/>
        <v>0.76845143010338379</v>
      </c>
    </row>
    <row r="27" spans="1:22" ht="15" customHeight="1" x14ac:dyDescent="0.45">
      <c r="A27" s="74"/>
      <c r="B27" s="81"/>
      <c r="C27" s="35"/>
      <c r="L27" s="246"/>
      <c r="M27" s="246"/>
    </row>
    <row r="28" spans="1:22" ht="15" customHeight="1" x14ac:dyDescent="0.45">
      <c r="A28" s="74"/>
      <c r="B28" s="74"/>
      <c r="C28" s="172" t="s">
        <v>34</v>
      </c>
      <c r="D28" s="67">
        <v>0</v>
      </c>
      <c r="E28" s="72"/>
      <c r="F28" s="72"/>
      <c r="G28" s="72"/>
      <c r="H28" s="72"/>
      <c r="I28" s="72"/>
      <c r="J28" s="106"/>
      <c r="K28" s="72"/>
      <c r="L28" s="246">
        <f>I_14($A$6,$A$9,$A$15,$A$12,D28)</f>
        <v>0.69499947301637521</v>
      </c>
      <c r="M28" s="246">
        <f>I_14_stdev($A$6,D28)</f>
        <v>0.62514937042561025</v>
      </c>
    </row>
    <row r="29" spans="1:22" x14ac:dyDescent="0.45">
      <c r="A29" s="74"/>
      <c r="B29" s="74"/>
      <c r="C29" s="201" t="s">
        <v>35</v>
      </c>
      <c r="D29" s="115">
        <v>-1</v>
      </c>
      <c r="E29"/>
      <c r="F29"/>
      <c r="G29"/>
      <c r="H29"/>
      <c r="I29"/>
      <c r="J29"/>
      <c r="K29"/>
      <c r="L29" s="246" t="s">
        <v>344</v>
      </c>
      <c r="M29" s="246" t="s">
        <v>344</v>
      </c>
      <c r="U29" s="32"/>
      <c r="V29" s="32"/>
    </row>
    <row r="30" spans="1:22" x14ac:dyDescent="0.45">
      <c r="A30" s="74"/>
      <c r="B30" s="74"/>
      <c r="C30" s="20"/>
      <c r="D30" s="67"/>
      <c r="E30" s="68"/>
      <c r="F30" s="67"/>
      <c r="G30" s="67"/>
      <c r="H30" s="67"/>
      <c r="I30" s="71"/>
      <c r="J30" s="59"/>
      <c r="K30" s="107"/>
    </row>
    <row r="31" spans="1:22" x14ac:dyDescent="0.45">
      <c r="A31" s="117"/>
      <c r="B31" s="82"/>
      <c r="C31" s="20"/>
      <c r="D31" s="67"/>
      <c r="E31" s="67"/>
      <c r="F31" s="67"/>
      <c r="G31" s="67"/>
      <c r="H31" s="67"/>
      <c r="I31" s="71"/>
      <c r="J31" s="59"/>
      <c r="K31" s="107"/>
    </row>
    <row r="32" spans="1:22" x14ac:dyDescent="0.45">
      <c r="B32" s="82"/>
      <c r="C32" s="20"/>
      <c r="D32" s="67"/>
      <c r="E32" s="67"/>
      <c r="F32" s="67"/>
      <c r="G32" s="67"/>
      <c r="H32" s="67"/>
      <c r="I32" s="71"/>
      <c r="J32" s="59"/>
      <c r="K32" s="107"/>
    </row>
    <row r="33" spans="1:11" x14ac:dyDescent="0.45">
      <c r="A33" s="77"/>
      <c r="B33" s="83"/>
      <c r="C33" s="20"/>
      <c r="D33" s="67"/>
      <c r="E33" s="67"/>
      <c r="F33" s="67"/>
      <c r="G33" s="67"/>
      <c r="H33" s="67"/>
      <c r="I33" s="71"/>
      <c r="J33" s="59"/>
      <c r="K33" s="107"/>
    </row>
    <row r="34" spans="1:11" x14ac:dyDescent="0.45">
      <c r="A34" s="77"/>
      <c r="B34" s="83"/>
      <c r="C34" s="20"/>
      <c r="D34" s="67"/>
      <c r="E34" s="67"/>
      <c r="F34" s="67"/>
      <c r="G34" s="67"/>
      <c r="H34" s="67"/>
      <c r="I34" s="71"/>
      <c r="J34" s="59"/>
      <c r="K34" s="107"/>
    </row>
    <row r="35" spans="1:11" x14ac:dyDescent="0.45">
      <c r="A35" s="78"/>
      <c r="B35" s="83"/>
      <c r="C35" s="20"/>
      <c r="D35" s="67"/>
      <c r="E35" s="67"/>
      <c r="F35" s="67"/>
      <c r="G35" s="67"/>
      <c r="H35" s="67"/>
      <c r="I35" s="71"/>
      <c r="J35" s="59"/>
      <c r="K35" s="107"/>
    </row>
    <row r="36" spans="1:11" x14ac:dyDescent="0.45">
      <c r="A36" s="79"/>
      <c r="B36" s="83"/>
      <c r="C36" s="5"/>
      <c r="D36" s="67"/>
      <c r="E36" s="67"/>
      <c r="F36" s="67"/>
      <c r="G36" s="67"/>
      <c r="H36" s="67"/>
      <c r="I36" s="45"/>
      <c r="J36" s="59"/>
      <c r="K36" s="107"/>
    </row>
    <row r="37" spans="1:11" x14ac:dyDescent="0.45">
      <c r="A37" s="79"/>
      <c r="B37" s="84"/>
      <c r="D37" s="70"/>
      <c r="E37" s="70"/>
      <c r="F37" s="70"/>
      <c r="G37" s="70"/>
      <c r="H37" s="70"/>
      <c r="I37" s="45"/>
      <c r="J37" s="59"/>
      <c r="K37" s="107"/>
    </row>
    <row r="38" spans="1:11" x14ac:dyDescent="0.45">
      <c r="A38" s="79"/>
      <c r="B38" s="83"/>
      <c r="I38" s="45"/>
      <c r="J38" s="59"/>
      <c r="K38" s="107"/>
    </row>
    <row r="39" spans="1:11" x14ac:dyDescent="0.45">
      <c r="A39" s="77"/>
      <c r="B39" s="84"/>
      <c r="C39" s="5"/>
      <c r="I39" s="45"/>
      <c r="J39" s="59"/>
      <c r="K39" s="107"/>
    </row>
    <row r="40" spans="1:11" x14ac:dyDescent="0.45">
      <c r="A40" s="80"/>
      <c r="B40" s="83"/>
      <c r="C40" s="5"/>
      <c r="I40" s="45"/>
      <c r="J40" s="59"/>
      <c r="K40" s="107"/>
    </row>
    <row r="41" spans="1:11" x14ac:dyDescent="0.45">
      <c r="C41" s="5"/>
      <c r="I41" s="45"/>
      <c r="J41" s="59"/>
      <c r="K41" s="107"/>
    </row>
    <row r="42" spans="1:11" x14ac:dyDescent="0.45">
      <c r="C42" s="5"/>
      <c r="I42" s="45"/>
      <c r="J42" s="59"/>
      <c r="K42" s="107"/>
    </row>
    <row r="43" spans="1:11" x14ac:dyDescent="0.45">
      <c r="C43" s="5"/>
      <c r="I43" s="45"/>
      <c r="J43" s="59"/>
      <c r="K43" s="107"/>
    </row>
    <row r="44" spans="1:11" x14ac:dyDescent="0.45">
      <c r="C44" s="5"/>
      <c r="I44" s="73"/>
      <c r="J44" s="59"/>
      <c r="K44" s="107"/>
    </row>
    <row r="45" spans="1:11" x14ac:dyDescent="0.45">
      <c r="C45" s="5"/>
      <c r="I45" s="73"/>
      <c r="J45" s="59"/>
      <c r="K45" s="107"/>
    </row>
    <row r="46" spans="1:11" x14ac:dyDescent="0.45">
      <c r="C46" s="5"/>
      <c r="I46" s="73"/>
      <c r="J46" s="59"/>
      <c r="K46" s="107"/>
    </row>
    <row r="47" spans="1:11" x14ac:dyDescent="0.45">
      <c r="C47" s="5"/>
      <c r="I47" s="73"/>
      <c r="J47" s="59"/>
      <c r="K47" s="107"/>
    </row>
    <row r="48" spans="1:11" x14ac:dyDescent="0.45">
      <c r="C48" s="5"/>
      <c r="I48" s="73"/>
      <c r="J48" s="59"/>
      <c r="K48" s="107"/>
    </row>
    <row r="49" spans="3:11" ht="15.75" customHeight="1" x14ac:dyDescent="0.45">
      <c r="C49" s="5"/>
      <c r="I49" s="73"/>
      <c r="J49" s="59"/>
      <c r="K49" s="107"/>
    </row>
    <row r="50" spans="3:11" ht="15.75" customHeight="1" x14ac:dyDescent="0.45">
      <c r="C50" s="5"/>
      <c r="I50" s="73">
        <v>7.5</v>
      </c>
      <c r="J50" s="59" t="e">
        <f ca="1">I_13($A$6,$A$9,$A$15,$A$12,I50)</f>
        <v>#NAME?</v>
      </c>
      <c r="K50" s="107"/>
    </row>
    <row r="51" spans="3:11" ht="15.75" customHeight="1" x14ac:dyDescent="0.45">
      <c r="C51" s="5"/>
      <c r="I51" s="73">
        <v>10</v>
      </c>
      <c r="J51" s="59" t="e">
        <f ca="1">I_13($A$6,$A$9,$A$15,$A$12,I51)</f>
        <v>#NAME?</v>
      </c>
      <c r="K51" s="107"/>
    </row>
    <row r="52" spans="3:11" ht="15.75" customHeight="1" x14ac:dyDescent="0.45">
      <c r="C52" s="5"/>
      <c r="I52" s="67">
        <v>0</v>
      </c>
      <c r="J52" s="59" t="e">
        <f ca="1">I_13($A$6,$A$9,$A$15,$A$12,I52)</f>
        <v>#NAME?</v>
      </c>
      <c r="K52" s="107"/>
    </row>
    <row r="53" spans="3:11" ht="15.75" customHeight="1" x14ac:dyDescent="0.45">
      <c r="C53" s="5"/>
    </row>
    <row r="54" spans="3:11" ht="15.75" customHeight="1" x14ac:dyDescent="0.45">
      <c r="C54" s="5"/>
    </row>
    <row r="55" spans="3:11" ht="15.75" customHeight="1" x14ac:dyDescent="0.45">
      <c r="C55" s="5"/>
      <c r="K55" s="108"/>
    </row>
    <row r="56" spans="3:11" ht="15.75" customHeight="1" x14ac:dyDescent="0.45">
      <c r="C56" s="5"/>
      <c r="K56" s="108"/>
    </row>
    <row r="57" spans="3:11" ht="15.75" customHeight="1" x14ac:dyDescent="0.45">
      <c r="C57" s="5"/>
      <c r="K57" s="108"/>
    </row>
    <row r="58" spans="3:11" ht="15.75" customHeight="1" x14ac:dyDescent="0.45">
      <c r="C58" s="5"/>
      <c r="K58" s="108"/>
    </row>
    <row r="59" spans="3:11" ht="15.75" customHeight="1" x14ac:dyDescent="0.45">
      <c r="C59" s="5"/>
      <c r="K59" s="108"/>
    </row>
    <row r="60" spans="3:11" ht="15.75" customHeight="1" x14ac:dyDescent="0.45">
      <c r="C60" s="5"/>
      <c r="K60" s="108"/>
    </row>
    <row r="61" spans="3:11" ht="15.75" customHeight="1" x14ac:dyDescent="0.45">
      <c r="C61" s="5"/>
      <c r="K61" s="108"/>
    </row>
    <row r="62" spans="3:11" ht="15.75" customHeight="1" x14ac:dyDescent="0.45">
      <c r="C62" s="5"/>
      <c r="K62" s="108"/>
    </row>
    <row r="63" spans="3:11" ht="15.75" customHeight="1" x14ac:dyDescent="0.45">
      <c r="C63" s="5"/>
      <c r="K63" s="108"/>
    </row>
    <row r="64" spans="3:11" ht="15.75" customHeight="1" x14ac:dyDescent="0.45">
      <c r="C64" s="5"/>
      <c r="K64" s="108"/>
    </row>
    <row r="65" spans="3:11" ht="15.75" customHeight="1" x14ac:dyDescent="0.45">
      <c r="C65" s="5"/>
      <c r="K65" s="108"/>
    </row>
    <row r="66" spans="3:11" ht="15.75" customHeight="1" x14ac:dyDescent="0.45">
      <c r="C66" s="5"/>
      <c r="K66" s="108"/>
    </row>
    <row r="67" spans="3:11" ht="15.75" customHeight="1" x14ac:dyDescent="0.45">
      <c r="C67" s="5"/>
      <c r="K67" s="108"/>
    </row>
    <row r="68" spans="3:11" ht="15.75" customHeight="1" x14ac:dyDescent="0.45">
      <c r="C68" s="5"/>
      <c r="K68" s="108"/>
    </row>
    <row r="69" spans="3:11" ht="15.75" customHeight="1" x14ac:dyDescent="0.45">
      <c r="C69" s="5"/>
      <c r="K69" s="108"/>
    </row>
    <row r="70" spans="3:11" ht="15.75" customHeight="1" x14ac:dyDescent="0.45">
      <c r="C70" s="5"/>
      <c r="K70" s="108"/>
    </row>
    <row r="71" spans="3:11" ht="15.75" customHeight="1" x14ac:dyDescent="0.45">
      <c r="C71" s="5"/>
      <c r="K71" s="108"/>
    </row>
    <row r="72" spans="3:11" ht="15.75" customHeight="1" x14ac:dyDescent="0.45">
      <c r="C72" s="5"/>
    </row>
    <row r="73" spans="3:11" ht="15.75" customHeight="1" x14ac:dyDescent="0.45">
      <c r="C73" s="5"/>
    </row>
    <row r="74" spans="3:11" ht="15.75" customHeight="1" x14ac:dyDescent="0.45">
      <c r="C74" s="5"/>
    </row>
    <row r="75" spans="3:11" ht="15.75" customHeight="1" x14ac:dyDescent="0.45">
      <c r="C75" s="5"/>
    </row>
    <row r="76" spans="3:11" ht="15.75" customHeight="1" x14ac:dyDescent="0.45">
      <c r="C76" s="5"/>
    </row>
    <row r="77" spans="3:11" ht="15.75" customHeight="1" x14ac:dyDescent="0.45">
      <c r="C77" s="5"/>
    </row>
    <row r="78" spans="3:11" ht="15.75" customHeight="1" x14ac:dyDescent="0.45">
      <c r="C78" s="5"/>
    </row>
    <row r="79" spans="3:11" ht="15.75" customHeight="1" x14ac:dyDescent="0.45">
      <c r="C79" s="5"/>
    </row>
    <row r="80" spans="3:11" ht="15.75" customHeight="1" x14ac:dyDescent="0.45">
      <c r="C80" s="5"/>
    </row>
    <row r="81" spans="3:3" x14ac:dyDescent="0.45">
      <c r="C81" s="5"/>
    </row>
    <row r="82" spans="3:3" x14ac:dyDescent="0.45">
      <c r="C82" s="5"/>
    </row>
  </sheetData>
  <sheetProtection password="EDF4" sheet="1" objects="1" scenarios="1"/>
  <mergeCells count="2">
    <mergeCell ref="L4:M4"/>
    <mergeCell ref="C6:C26"/>
  </mergeCells>
  <conditionalFormatting sqref="B22 A9">
    <cfRule type="cellIs" dxfId="3" priority="5" operator="greaterThan">
      <formula>150</formula>
    </cfRule>
  </conditionalFormatting>
  <conditionalFormatting sqref="A6">
    <cfRule type="cellIs" dxfId="2" priority="3" operator="lessThan">
      <formula>5</formula>
    </cfRule>
  </conditionalFormatting>
  <conditionalFormatting sqref="A12">
    <cfRule type="cellIs" dxfId="1" priority="1" operator="lessThan">
      <formula>450</formula>
    </cfRule>
  </conditionalFormatting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M26"/>
  <sheetViews>
    <sheetView workbookViewId="0">
      <selection sqref="A1:XFD1048576"/>
    </sheetView>
  </sheetViews>
  <sheetFormatPr defaultColWidth="8.86328125" defaultRowHeight="14.25" x14ac:dyDescent="0.45"/>
  <sheetData>
    <row r="1" spans="1:13" x14ac:dyDescent="0.45">
      <c r="A1" s="38" t="s">
        <v>425</v>
      </c>
    </row>
    <row r="2" spans="1:13" x14ac:dyDescent="0.45">
      <c r="A2" s="38"/>
      <c r="B2" s="31"/>
      <c r="C2" s="31"/>
      <c r="D2" s="29"/>
    </row>
    <row r="3" spans="1:13" s="92" customFormat="1" ht="15" x14ac:dyDescent="0.5">
      <c r="A3" s="4" t="s">
        <v>21</v>
      </c>
      <c r="B3" s="31" t="s">
        <v>194</v>
      </c>
      <c r="C3" s="31" t="s">
        <v>195</v>
      </c>
      <c r="D3" s="31" t="s">
        <v>196</v>
      </c>
      <c r="E3" s="31" t="s">
        <v>197</v>
      </c>
      <c r="F3" s="31" t="s">
        <v>194</v>
      </c>
      <c r="G3" s="31" t="s">
        <v>195</v>
      </c>
      <c r="H3" s="31" t="s">
        <v>196</v>
      </c>
      <c r="I3" s="31" t="s">
        <v>197</v>
      </c>
      <c r="J3" s="31" t="s">
        <v>198</v>
      </c>
      <c r="K3" s="31" t="s">
        <v>199</v>
      </c>
      <c r="L3" s="31" t="s">
        <v>200</v>
      </c>
      <c r="M3" s="65" t="s">
        <v>201</v>
      </c>
    </row>
    <row r="4" spans="1:13" ht="15.75" x14ac:dyDescent="0.45">
      <c r="A4" s="29"/>
      <c r="B4" s="400" t="s">
        <v>202</v>
      </c>
      <c r="C4" s="400"/>
      <c r="D4" s="400"/>
      <c r="E4" s="400"/>
      <c r="F4" s="400" t="s">
        <v>203</v>
      </c>
      <c r="G4" s="400"/>
      <c r="H4" s="400"/>
      <c r="I4" s="400"/>
      <c r="J4" s="66"/>
      <c r="K4" s="66"/>
      <c r="L4" s="66"/>
      <c r="M4" s="66"/>
    </row>
    <row r="5" spans="1:13" x14ac:dyDescent="0.45">
      <c r="A5" s="29">
        <v>0.01</v>
      </c>
      <c r="B5" s="7">
        <v>7.0887000000000002</v>
      </c>
      <c r="C5" s="7">
        <v>0.20580000000000001</v>
      </c>
      <c r="D5" s="7">
        <v>2.9935</v>
      </c>
      <c r="E5" s="7">
        <v>-0.22869999999999999</v>
      </c>
      <c r="F5" s="6">
        <v>9.0137999999999998</v>
      </c>
      <c r="G5" s="6">
        <v>-7.9399999999999998E-2</v>
      </c>
      <c r="H5" s="6">
        <v>2.9935</v>
      </c>
      <c r="I5" s="6">
        <v>-0.22869999999999999</v>
      </c>
      <c r="J5" s="6">
        <v>5.8900000000000001E-2</v>
      </c>
      <c r="K5" s="27">
        <v>-0.85399999999999998</v>
      </c>
      <c r="L5" s="6">
        <v>-2.7000000000000001E-3</v>
      </c>
      <c r="M5" s="28">
        <v>0.08</v>
      </c>
    </row>
    <row r="6" spans="1:13" x14ac:dyDescent="0.45">
      <c r="A6" s="29">
        <v>0.02</v>
      </c>
      <c r="B6" s="7">
        <v>7.1157000000000004</v>
      </c>
      <c r="C6" s="7">
        <v>0.20580000000000001</v>
      </c>
      <c r="D6" s="7">
        <v>2.9935</v>
      </c>
      <c r="E6" s="7">
        <v>-0.22869999999999999</v>
      </c>
      <c r="F6" s="6">
        <v>9.0408000000000008</v>
      </c>
      <c r="G6" s="6">
        <v>-7.9399999999999998E-2</v>
      </c>
      <c r="H6" s="6">
        <v>2.9935</v>
      </c>
      <c r="I6" s="6">
        <v>-0.22869999999999999</v>
      </c>
      <c r="J6" s="6">
        <v>5.8900000000000001E-2</v>
      </c>
      <c r="K6" s="27">
        <v>-0.85399999999999998</v>
      </c>
      <c r="L6" s="6">
        <v>-2.7000000000000001E-3</v>
      </c>
      <c r="M6" s="28">
        <v>0.08</v>
      </c>
    </row>
    <row r="7" spans="1:13" x14ac:dyDescent="0.45">
      <c r="A7" s="29">
        <v>0.03</v>
      </c>
      <c r="B7" s="7">
        <v>7.2087000000000003</v>
      </c>
      <c r="C7" s="7">
        <v>0.20580000000000001</v>
      </c>
      <c r="D7" s="7">
        <v>2.9935</v>
      </c>
      <c r="E7" s="7">
        <v>-0.22869999999999999</v>
      </c>
      <c r="F7" s="6">
        <v>9.1338000000000008</v>
      </c>
      <c r="G7" s="6">
        <v>-7.9399999999999998E-2</v>
      </c>
      <c r="H7" s="6">
        <v>2.9935</v>
      </c>
      <c r="I7" s="6">
        <v>-0.22869999999999999</v>
      </c>
      <c r="J7" s="6">
        <v>5.8900000000000001E-2</v>
      </c>
      <c r="K7" s="27">
        <v>-0.85399999999999998</v>
      </c>
      <c r="L7" s="6">
        <v>-2.7000000000000001E-3</v>
      </c>
      <c r="M7" s="28">
        <v>0.08</v>
      </c>
    </row>
    <row r="8" spans="1:13" x14ac:dyDescent="0.45">
      <c r="A8" s="29">
        <v>0.05</v>
      </c>
      <c r="B8" s="7">
        <v>6.2637999999999998</v>
      </c>
      <c r="C8" s="7">
        <v>6.25E-2</v>
      </c>
      <c r="D8" s="7">
        <v>2.8664000000000001</v>
      </c>
      <c r="E8" s="7">
        <v>-0.24179999999999999</v>
      </c>
      <c r="F8" s="6">
        <v>7.9836999999999998</v>
      </c>
      <c r="G8" s="6">
        <v>-0.1923</v>
      </c>
      <c r="H8" s="6">
        <v>2.7995000000000001</v>
      </c>
      <c r="I8" s="6">
        <v>-0.2319</v>
      </c>
      <c r="J8" s="6">
        <v>4.1700000000000001E-2</v>
      </c>
      <c r="K8" s="27">
        <v>-0.63100000000000001</v>
      </c>
      <c r="L8" s="6">
        <v>-6.1000000000000004E-3</v>
      </c>
      <c r="M8" s="28">
        <v>0.08</v>
      </c>
    </row>
    <row r="9" spans="1:13" x14ac:dyDescent="0.45">
      <c r="A9" s="29">
        <v>7.4999999999999997E-2</v>
      </c>
      <c r="B9" s="7">
        <v>5.9051</v>
      </c>
      <c r="C9" s="7">
        <v>0.1128</v>
      </c>
      <c r="D9" s="7">
        <v>2.9405999999999999</v>
      </c>
      <c r="E9" s="7">
        <v>-0.25130000000000002</v>
      </c>
      <c r="F9" s="6">
        <v>7.7560000000000002</v>
      </c>
      <c r="G9" s="6">
        <v>-0.16139999999999999</v>
      </c>
      <c r="H9" s="6">
        <v>2.8142999999999998</v>
      </c>
      <c r="I9" s="6">
        <v>-0.2326</v>
      </c>
      <c r="J9" s="6">
        <v>5.2699999999999997E-2</v>
      </c>
      <c r="K9" s="27">
        <v>-0.59099999999999997</v>
      </c>
      <c r="L9" s="6">
        <v>-5.5999999999999999E-3</v>
      </c>
      <c r="M9" s="28">
        <v>0.08</v>
      </c>
    </row>
    <row r="10" spans="1:13" x14ac:dyDescent="0.45">
      <c r="A10" s="29">
        <v>0.1</v>
      </c>
      <c r="B10" s="7">
        <v>7.5791000000000004</v>
      </c>
      <c r="C10" s="7">
        <v>8.48E-2</v>
      </c>
      <c r="D10" s="7">
        <v>3.0190000000000001</v>
      </c>
      <c r="E10" s="7">
        <v>-0.25159999999999999</v>
      </c>
      <c r="F10" s="6">
        <v>9.4252000000000002</v>
      </c>
      <c r="G10" s="6">
        <v>-0.18870000000000001</v>
      </c>
      <c r="H10" s="6">
        <v>2.8130999999999999</v>
      </c>
      <c r="I10" s="6">
        <v>-0.22109999999999999</v>
      </c>
      <c r="J10" s="6">
        <v>4.4200000000000003E-2</v>
      </c>
      <c r="K10" s="27">
        <v>-0.75700000000000001</v>
      </c>
      <c r="L10" s="6">
        <v>-4.1999999999999997E-3</v>
      </c>
      <c r="M10" s="28">
        <v>0.08</v>
      </c>
    </row>
    <row r="11" spans="1:13" x14ac:dyDescent="0.45">
      <c r="A11" s="29">
        <v>0.15</v>
      </c>
      <c r="B11" s="7">
        <v>8.0190000000000001</v>
      </c>
      <c r="C11" s="7">
        <v>0.17130000000000001</v>
      </c>
      <c r="D11" s="7">
        <v>2.7871000000000001</v>
      </c>
      <c r="E11" s="7">
        <v>-0.22359999999999999</v>
      </c>
      <c r="F11" s="6">
        <v>9.6242000000000001</v>
      </c>
      <c r="G11" s="6">
        <v>-6.6500000000000004E-2</v>
      </c>
      <c r="H11" s="6">
        <v>2.4091</v>
      </c>
      <c r="I11" s="6">
        <v>-0.1676</v>
      </c>
      <c r="J11" s="6">
        <v>3.2899999999999999E-2</v>
      </c>
      <c r="K11" s="27">
        <v>-0.91100000000000003</v>
      </c>
      <c r="L11" s="6">
        <v>-4.5999999999999999E-3</v>
      </c>
      <c r="M11" s="28">
        <v>0.08</v>
      </c>
    </row>
    <row r="12" spans="1:13" x14ac:dyDescent="0.45">
      <c r="A12" s="29">
        <v>0.2</v>
      </c>
      <c r="B12" s="7">
        <v>9.2812000000000001</v>
      </c>
      <c r="C12" s="7">
        <v>0.1041</v>
      </c>
      <c r="D12" s="7">
        <v>2.8611</v>
      </c>
      <c r="E12" s="7">
        <v>-0.22289999999999999</v>
      </c>
      <c r="F12" s="6">
        <v>11.13</v>
      </c>
      <c r="G12" s="6">
        <v>-0.16980000000000001</v>
      </c>
      <c r="H12" s="6">
        <v>2.4937999999999998</v>
      </c>
      <c r="I12" s="6">
        <v>-0.16850000000000001</v>
      </c>
      <c r="J12" s="6">
        <v>1.8800000000000001E-2</v>
      </c>
      <c r="K12" s="27">
        <v>-0.998</v>
      </c>
      <c r="L12" s="6">
        <v>-3.0000000000000001E-3</v>
      </c>
      <c r="M12" s="28">
        <v>0.08</v>
      </c>
    </row>
    <row r="13" spans="1:13" x14ac:dyDescent="0.45">
      <c r="A13" s="29">
        <v>0.25</v>
      </c>
      <c r="B13" s="7">
        <v>9.5803999999999991</v>
      </c>
      <c r="C13" s="7">
        <v>8.7499999999999994E-2</v>
      </c>
      <c r="D13" s="7">
        <v>2.8289</v>
      </c>
      <c r="E13" s="7">
        <v>-0.22</v>
      </c>
      <c r="F13" s="6">
        <v>11.3629</v>
      </c>
      <c r="G13" s="6">
        <v>-0.17660000000000001</v>
      </c>
      <c r="H13" s="6">
        <v>2.3773</v>
      </c>
      <c r="I13" s="6">
        <v>-0.15310000000000001</v>
      </c>
      <c r="J13" s="6">
        <v>9.4999999999999998E-3</v>
      </c>
      <c r="K13" s="27">
        <v>-1.042</v>
      </c>
      <c r="L13" s="6">
        <v>-2.8E-3</v>
      </c>
      <c r="M13" s="28">
        <v>0.08</v>
      </c>
    </row>
    <row r="14" spans="1:13" x14ac:dyDescent="0.45">
      <c r="A14" s="29">
        <v>0.3</v>
      </c>
      <c r="B14" s="7">
        <v>9.8911999999999995</v>
      </c>
      <c r="C14" s="7">
        <v>2.9999999999999997E-4</v>
      </c>
      <c r="D14" s="7">
        <v>2.8422999999999998</v>
      </c>
      <c r="E14" s="7">
        <v>-0.22839999999999999</v>
      </c>
      <c r="F14" s="6">
        <v>11.7818</v>
      </c>
      <c r="G14" s="6">
        <v>-0.27979999999999999</v>
      </c>
      <c r="H14" s="6">
        <v>2.3772000000000002</v>
      </c>
      <c r="I14" s="6">
        <v>-0.1595</v>
      </c>
      <c r="J14" s="6">
        <v>-3.8999999999999998E-3</v>
      </c>
      <c r="K14" s="27">
        <v>-1.03</v>
      </c>
      <c r="L14" s="6">
        <v>-2.8999999999999998E-3</v>
      </c>
      <c r="M14" s="28">
        <v>0.08</v>
      </c>
    </row>
    <row r="15" spans="1:13" x14ac:dyDescent="0.45">
      <c r="A15" s="29">
        <v>0.4</v>
      </c>
      <c r="B15" s="7">
        <v>9.5342000000000002</v>
      </c>
      <c r="C15" s="7">
        <v>2.7000000000000001E-3</v>
      </c>
      <c r="D15" s="7">
        <v>2.83</v>
      </c>
      <c r="E15" s="7">
        <v>-0.23180000000000001</v>
      </c>
      <c r="F15" s="6">
        <v>11.6097</v>
      </c>
      <c r="G15" s="6">
        <v>-0.30480000000000002</v>
      </c>
      <c r="H15" s="6">
        <v>2.3412999999999999</v>
      </c>
      <c r="I15" s="6">
        <v>-0.15939999999999999</v>
      </c>
      <c r="J15" s="6">
        <v>-1.3299999999999999E-2</v>
      </c>
      <c r="K15" s="27">
        <v>-1.0189999999999999</v>
      </c>
      <c r="L15" s="6">
        <v>-2.8E-3</v>
      </c>
      <c r="M15" s="28">
        <v>0.08</v>
      </c>
    </row>
    <row r="16" spans="1:13" x14ac:dyDescent="0.45">
      <c r="A16" s="29">
        <v>0.5</v>
      </c>
      <c r="B16" s="7">
        <v>9.2141999999999999</v>
      </c>
      <c r="C16" s="7">
        <v>3.9899999999999998E-2</v>
      </c>
      <c r="D16" s="7">
        <v>2.8559999999999999</v>
      </c>
      <c r="E16" s="7">
        <v>-0.23369999999999999</v>
      </c>
      <c r="F16" s="6">
        <v>11.448399999999999</v>
      </c>
      <c r="G16" s="6">
        <v>-0.29110000000000003</v>
      </c>
      <c r="H16" s="6">
        <v>2.3477000000000001</v>
      </c>
      <c r="I16" s="6">
        <v>-0.15840000000000001</v>
      </c>
      <c r="J16" s="6">
        <v>-2.24E-2</v>
      </c>
      <c r="K16" s="27">
        <v>-1.0229999999999999</v>
      </c>
      <c r="L16" s="6">
        <v>-2.0999999999999999E-3</v>
      </c>
      <c r="M16" s="28">
        <v>0.08</v>
      </c>
    </row>
    <row r="17" spans="1:13" x14ac:dyDescent="0.45">
      <c r="A17" s="29">
        <v>0.75</v>
      </c>
      <c r="B17" s="7">
        <v>8.3516999999999992</v>
      </c>
      <c r="C17" s="7">
        <v>6.8900000000000003E-2</v>
      </c>
      <c r="D17" s="7">
        <v>2.7544</v>
      </c>
      <c r="E17" s="7">
        <v>-0.2392</v>
      </c>
      <c r="F17" s="6">
        <v>10.906499999999999</v>
      </c>
      <c r="G17" s="6">
        <v>-0.30969999999999998</v>
      </c>
      <c r="H17" s="6">
        <v>2.2042000000000002</v>
      </c>
      <c r="I17" s="6">
        <v>-0.15770000000000001</v>
      </c>
      <c r="J17" s="6">
        <v>-2.6700000000000002E-2</v>
      </c>
      <c r="K17" s="27">
        <v>-1.056</v>
      </c>
      <c r="L17" s="6">
        <v>-2.8999999999999998E-3</v>
      </c>
      <c r="M17" s="28">
        <v>0.08</v>
      </c>
    </row>
    <row r="18" spans="1:13" x14ac:dyDescent="0.45">
      <c r="A18" s="5">
        <v>1</v>
      </c>
      <c r="B18" s="7">
        <v>7.0453000000000001</v>
      </c>
      <c r="C18" s="7">
        <v>0.16</v>
      </c>
      <c r="D18" s="7">
        <v>2.7339000000000002</v>
      </c>
      <c r="E18" s="7">
        <v>-0.23980000000000001</v>
      </c>
      <c r="F18" s="6">
        <v>9.8565000000000005</v>
      </c>
      <c r="G18" s="6">
        <v>-0.25650000000000001</v>
      </c>
      <c r="H18" s="6">
        <v>2.1493000000000002</v>
      </c>
      <c r="I18" s="6">
        <v>-0.1532</v>
      </c>
      <c r="J18" s="6">
        <v>-1.9800000000000002E-2</v>
      </c>
      <c r="K18" s="27">
        <v>-1.0089999999999999</v>
      </c>
      <c r="L18" s="6">
        <v>-3.2000000000000002E-3</v>
      </c>
      <c r="M18" s="28">
        <v>0.06</v>
      </c>
    </row>
    <row r="19" spans="1:13" x14ac:dyDescent="0.45">
      <c r="A19" s="29">
        <v>1.5</v>
      </c>
      <c r="B19" s="7">
        <v>5.1307</v>
      </c>
      <c r="C19" s="7">
        <v>0.2429</v>
      </c>
      <c r="D19" s="7">
        <v>2.68</v>
      </c>
      <c r="E19" s="7">
        <v>-0.2417</v>
      </c>
      <c r="F19" s="6">
        <v>8.3362999999999996</v>
      </c>
      <c r="G19" s="6">
        <v>-0.23200000000000001</v>
      </c>
      <c r="H19" s="6">
        <v>2.0407999999999999</v>
      </c>
      <c r="I19" s="6">
        <v>-0.14699999999999999</v>
      </c>
      <c r="J19" s="6">
        <v>-3.6700000000000003E-2</v>
      </c>
      <c r="K19" s="27">
        <v>-0.89800000000000002</v>
      </c>
      <c r="L19" s="6">
        <v>-3.3E-3</v>
      </c>
      <c r="M19" s="28">
        <v>0.04</v>
      </c>
    </row>
    <row r="20" spans="1:13" x14ac:dyDescent="0.45">
      <c r="A20" s="29">
        <v>2</v>
      </c>
      <c r="B20" s="7">
        <v>3.3610000000000002</v>
      </c>
      <c r="C20" s="7">
        <v>0.39660000000000001</v>
      </c>
      <c r="D20" s="7">
        <v>2.6837</v>
      </c>
      <c r="E20" s="7">
        <v>-0.245</v>
      </c>
      <c r="F20" s="6">
        <v>6.8655999999999997</v>
      </c>
      <c r="G20" s="6">
        <v>-0.1226</v>
      </c>
      <c r="H20" s="6">
        <v>2.0013000000000001</v>
      </c>
      <c r="I20" s="6">
        <v>-0.1439</v>
      </c>
      <c r="J20" s="6">
        <v>-2.9100000000000001E-2</v>
      </c>
      <c r="K20" s="27">
        <v>-0.85099999999999998</v>
      </c>
      <c r="L20" s="6">
        <v>-3.2000000000000002E-3</v>
      </c>
      <c r="M20" s="28">
        <v>0.02</v>
      </c>
    </row>
    <row r="21" spans="1:13" x14ac:dyDescent="0.45">
      <c r="A21" s="29">
        <v>3</v>
      </c>
      <c r="B21" s="7">
        <v>0.1784</v>
      </c>
      <c r="C21" s="7">
        <v>0.75600000000000001</v>
      </c>
      <c r="D21" s="7">
        <v>2.6907000000000001</v>
      </c>
      <c r="E21" s="7">
        <v>-0.2389</v>
      </c>
      <c r="F21" s="6">
        <v>4.1177999999999999</v>
      </c>
      <c r="G21" s="6">
        <v>0.1724</v>
      </c>
      <c r="H21" s="6">
        <v>1.9408000000000001</v>
      </c>
      <c r="I21" s="6">
        <v>-0.1278</v>
      </c>
      <c r="J21" s="6">
        <v>-2.1399999999999999E-2</v>
      </c>
      <c r="K21" s="27">
        <v>-0.76100000000000001</v>
      </c>
      <c r="L21" s="6">
        <v>-3.0999999999999999E-3</v>
      </c>
      <c r="M21" s="28">
        <v>0.02</v>
      </c>
    </row>
    <row r="22" spans="1:13" x14ac:dyDescent="0.45">
      <c r="A22" s="29">
        <v>4</v>
      </c>
      <c r="B22" s="7">
        <v>-2.4300999999999999</v>
      </c>
      <c r="C22" s="7">
        <v>0.92830000000000001</v>
      </c>
      <c r="D22" s="7">
        <v>2.5781999999999998</v>
      </c>
      <c r="E22" s="7">
        <v>-0.25140000000000001</v>
      </c>
      <c r="F22" s="6">
        <v>1.8102</v>
      </c>
      <c r="G22" s="6">
        <v>0.30009999999999998</v>
      </c>
      <c r="H22" s="6">
        <v>1.7763</v>
      </c>
      <c r="I22" s="6">
        <v>-0.1326</v>
      </c>
      <c r="J22" s="6">
        <v>-2.4E-2</v>
      </c>
      <c r="K22" s="27">
        <v>-0.67500000000000004</v>
      </c>
      <c r="L22" s="6">
        <v>-5.1000000000000004E-3</v>
      </c>
      <c r="M22" s="29">
        <v>0</v>
      </c>
    </row>
    <row r="23" spans="1:13" x14ac:dyDescent="0.45">
      <c r="A23" s="29">
        <v>5</v>
      </c>
      <c r="B23" s="7">
        <v>-4.3570000000000002</v>
      </c>
      <c r="C23" s="7">
        <v>1.1209</v>
      </c>
      <c r="D23" s="7">
        <v>2.5468000000000002</v>
      </c>
      <c r="E23" s="7">
        <v>-0.25409999999999999</v>
      </c>
      <c r="F23" s="6">
        <v>9.7699999999999995E-2</v>
      </c>
      <c r="G23" s="6">
        <v>0.46089999999999998</v>
      </c>
      <c r="H23" s="6">
        <v>1.7030000000000001</v>
      </c>
      <c r="I23" s="6">
        <v>-0.12909999999999999</v>
      </c>
      <c r="J23" s="6">
        <v>-2.0199999999999999E-2</v>
      </c>
      <c r="K23" s="27">
        <v>-0.629</v>
      </c>
      <c r="L23" s="6">
        <v>-5.8999999999999999E-3</v>
      </c>
      <c r="M23" s="29">
        <v>0</v>
      </c>
    </row>
    <row r="24" spans="1:13" x14ac:dyDescent="0.45">
      <c r="A24" s="29">
        <v>7.5</v>
      </c>
      <c r="B24" s="7">
        <v>-7.8274999999999997</v>
      </c>
      <c r="C24" s="7">
        <v>1.4016</v>
      </c>
      <c r="D24" s="7">
        <v>2.4478</v>
      </c>
      <c r="E24" s="7">
        <v>-0.25929999999999997</v>
      </c>
      <c r="F24" s="6">
        <v>-3.0562999999999998</v>
      </c>
      <c r="G24" s="6">
        <v>0.69479999999999997</v>
      </c>
      <c r="H24" s="6">
        <v>1.5212000000000001</v>
      </c>
      <c r="I24" s="6">
        <v>-0.122</v>
      </c>
      <c r="J24" s="6">
        <v>-2.1899999999999999E-2</v>
      </c>
      <c r="K24" s="27">
        <v>-0.53100000000000003</v>
      </c>
      <c r="L24" s="6">
        <v>-5.7000000000000002E-3</v>
      </c>
      <c r="M24" s="29">
        <v>0</v>
      </c>
    </row>
    <row r="25" spans="1:13" x14ac:dyDescent="0.45">
      <c r="A25" s="29">
        <v>10</v>
      </c>
      <c r="B25" s="7">
        <v>-9.2857000000000003</v>
      </c>
      <c r="C25" s="7">
        <v>1.5573999999999999</v>
      </c>
      <c r="D25" s="7">
        <v>2.3921999999999999</v>
      </c>
      <c r="E25" s="7">
        <v>-0.2586</v>
      </c>
      <c r="F25" s="6">
        <v>-4.4386999999999999</v>
      </c>
      <c r="G25" s="6">
        <v>0.83930000000000005</v>
      </c>
      <c r="H25" s="6">
        <v>1.4195</v>
      </c>
      <c r="I25" s="6">
        <v>-0.1145</v>
      </c>
      <c r="J25" s="6">
        <v>-3.5000000000000001E-3</v>
      </c>
      <c r="K25" s="27">
        <v>-0.58599999999999997</v>
      </c>
      <c r="L25" s="6">
        <v>-6.1000000000000004E-3</v>
      </c>
      <c r="M25" s="29">
        <v>0</v>
      </c>
    </row>
    <row r="26" spans="1:13" x14ac:dyDescent="0.45">
      <c r="A26" s="29">
        <v>0</v>
      </c>
      <c r="B26" s="7">
        <v>7.0887000000000002</v>
      </c>
      <c r="C26" s="7">
        <v>0.20580000000000001</v>
      </c>
      <c r="D26" s="7">
        <v>2.9935</v>
      </c>
      <c r="E26" s="7">
        <v>-0.22869999999999999</v>
      </c>
      <c r="F26" s="6">
        <v>9.0137999999999998</v>
      </c>
      <c r="G26" s="6">
        <v>-7.9399999999999998E-2</v>
      </c>
      <c r="H26" s="6">
        <v>2.9935</v>
      </c>
      <c r="I26" s="6">
        <v>-0.22869999999999999</v>
      </c>
      <c r="J26" s="6">
        <v>5.8900000000000001E-2</v>
      </c>
      <c r="K26" s="27">
        <v>-0.85399999999999998</v>
      </c>
      <c r="L26" s="6">
        <v>-2.7000000000000001E-3</v>
      </c>
      <c r="M26" s="28">
        <v>0.08</v>
      </c>
    </row>
  </sheetData>
  <sheetProtection password="EDF4" sheet="1" objects="1" scenarios="1"/>
  <mergeCells count="2">
    <mergeCell ref="B4:E4"/>
    <mergeCell ref="F4:I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H35"/>
  <sheetViews>
    <sheetView topLeftCell="A4" workbookViewId="0">
      <selection activeCell="B2" sqref="B2"/>
    </sheetView>
  </sheetViews>
  <sheetFormatPr defaultColWidth="8.86328125" defaultRowHeight="14.25" x14ac:dyDescent="0.45"/>
  <cols>
    <col min="1" max="1" width="18.86328125" bestFit="1" customWidth="1"/>
    <col min="2" max="2" width="11.73046875" bestFit="1" customWidth="1"/>
    <col min="3" max="3" width="9.73046875" customWidth="1"/>
    <col min="4" max="4" width="10.73046875" customWidth="1"/>
    <col min="5" max="5" width="10.3984375" customWidth="1"/>
    <col min="6" max="6" width="10.265625" customWidth="1"/>
    <col min="7" max="7" width="9.265625" bestFit="1" customWidth="1"/>
  </cols>
  <sheetData>
    <row r="1" spans="1:8" ht="14.65" thickBot="1" x14ac:dyDescent="0.5"/>
    <row r="2" spans="1:8" ht="14.65" thickBot="1" x14ac:dyDescent="0.5">
      <c r="A2" s="177" t="s">
        <v>413</v>
      </c>
      <c r="B2" s="204" t="s">
        <v>411</v>
      </c>
      <c r="C2" s="206" t="str">
        <f>IF(B2="Arithmetic","Weighted average of the spectral values","Weighted average of the natural logarithm of the spectral values")</f>
        <v>Weighted average of the spectral values</v>
      </c>
      <c r="D2" s="178"/>
      <c r="E2" s="176"/>
      <c r="F2" s="176"/>
    </row>
    <row r="3" spans="1:8" ht="14.65" thickBot="1" x14ac:dyDescent="0.5">
      <c r="A3" s="179"/>
      <c r="B3" s="180"/>
      <c r="C3" s="180"/>
      <c r="D3" s="180"/>
      <c r="E3" s="180"/>
      <c r="F3" s="180"/>
    </row>
    <row r="4" spans="1:8" ht="16.899999999999999" x14ac:dyDescent="0.5">
      <c r="A4" s="181" t="s">
        <v>419</v>
      </c>
      <c r="B4" s="182" t="s">
        <v>294</v>
      </c>
      <c r="C4" s="182" t="s">
        <v>295</v>
      </c>
      <c r="D4" s="183" t="s">
        <v>296</v>
      </c>
      <c r="E4" s="183" t="s">
        <v>297</v>
      </c>
      <c r="F4" s="184" t="s">
        <v>298</v>
      </c>
    </row>
    <row r="5" spans="1:8" ht="14.65" thickBot="1" x14ac:dyDescent="0.5">
      <c r="A5" s="185" t="s">
        <v>420</v>
      </c>
      <c r="B5" s="202">
        <f>Main!$C$14</f>
        <v>0.25</v>
      </c>
      <c r="C5" s="202">
        <f>Main!$D$14</f>
        <v>0.25</v>
      </c>
      <c r="D5" s="202">
        <f>Main!$E$14</f>
        <v>0.25</v>
      </c>
      <c r="E5" s="202">
        <f>Main!$F$14</f>
        <v>0.25</v>
      </c>
      <c r="F5" s="202">
        <f>Main!$G$14</f>
        <v>0</v>
      </c>
    </row>
    <row r="6" spans="1:8" ht="14.65" thickBot="1" x14ac:dyDescent="0.5">
      <c r="A6" s="178"/>
      <c r="B6" s="186"/>
      <c r="C6" s="187"/>
      <c r="D6" s="188"/>
      <c r="E6" s="189"/>
      <c r="F6" s="188"/>
    </row>
    <row r="7" spans="1:8" ht="17.25" thickBot="1" x14ac:dyDescent="0.55000000000000004">
      <c r="A7" s="177" t="s">
        <v>395</v>
      </c>
      <c r="B7" s="203">
        <f>Main!$C$16</f>
        <v>1</v>
      </c>
      <c r="C7" s="187"/>
      <c r="D7" s="205" t="str">
        <f>IF(AND(SUM($B$5:$F$5)&gt;0.99,SUM($B$5:$F$5)&lt;1.01)," ","WARNING: Weights should sum up to 1")</f>
        <v xml:space="preserve"> </v>
      </c>
      <c r="E7" s="189"/>
      <c r="F7" s="188"/>
    </row>
    <row r="8" spans="1:8" ht="14.65" thickBot="1" x14ac:dyDescent="0.5">
      <c r="A8" s="177" t="s">
        <v>335</v>
      </c>
      <c r="B8" s="203">
        <f>Main!$C$17</f>
        <v>5</v>
      </c>
      <c r="C8" s="187"/>
      <c r="D8" s="188"/>
      <c r="E8" s="189"/>
      <c r="F8" s="188"/>
    </row>
    <row r="10" spans="1:8" ht="16.899999999999999" x14ac:dyDescent="0.5">
      <c r="B10" s="190"/>
      <c r="D10" s="208" t="s">
        <v>294</v>
      </c>
      <c r="E10" s="208" t="s">
        <v>295</v>
      </c>
      <c r="F10" s="209" t="s">
        <v>296</v>
      </c>
      <c r="G10" s="209" t="s">
        <v>297</v>
      </c>
      <c r="H10" s="209" t="s">
        <v>298</v>
      </c>
    </row>
    <row r="11" spans="1:8" ht="45" customHeight="1" x14ac:dyDescent="0.45">
      <c r="B11" s="191" t="s">
        <v>20</v>
      </c>
      <c r="C11" s="192" t="s">
        <v>263</v>
      </c>
      <c r="D11" s="401" t="str">
        <f>"Sa Median (" &amp;$B$8 &amp; "% damping)"</f>
        <v>Sa Median (5% damping)</v>
      </c>
      <c r="E11" s="401"/>
      <c r="F11" s="401"/>
      <c r="G11" s="401"/>
      <c r="H11" s="401"/>
    </row>
    <row r="12" spans="1:8" x14ac:dyDescent="0.45">
      <c r="B12" s="393" t="s">
        <v>423</v>
      </c>
      <c r="C12" s="193">
        <v>0.01</v>
      </c>
      <c r="D12" s="210">
        <f>DSF!$S22*IF(Main!$C$14&lt;&gt;0,'ASK14'!E6,0)</f>
        <v>0.33160255623034579</v>
      </c>
      <c r="E12" s="210">
        <f>DSF!$S22*IF(Main!$D$14&lt;&gt;0,BSSA14!S6,0)</f>
        <v>0.36183980436117963</v>
      </c>
      <c r="F12" s="210">
        <f>DSF!$S22*IF(Main!$E$14&lt;&gt;0,'CB14'!Y6,0)</f>
        <v>0.30031959681742626</v>
      </c>
      <c r="G12" s="210">
        <f>DSF!$S22*IF(Main!$F$14&lt;&gt;0,'CY14'!U6,0)</f>
        <v>0.37962427597522086</v>
      </c>
      <c r="H12" s="210">
        <f>DSF!$S22*IF(Main!$G$14&lt;&gt;0,'I14'!L6,0)</f>
        <v>0</v>
      </c>
    </row>
    <row r="13" spans="1:8" x14ac:dyDescent="0.45">
      <c r="B13" s="393"/>
      <c r="C13" s="193">
        <v>0.02</v>
      </c>
      <c r="D13" s="210">
        <f>DSF!$S23*IF(Main!$C$14&lt;&gt;0,'ASK14'!E7,0)</f>
        <v>0.33453096860542397</v>
      </c>
      <c r="E13" s="210">
        <f>DSF!$S23*IF(Main!$D$14&lt;&gt;0,BSSA14!S7,0)</f>
        <v>0.35342792263893102</v>
      </c>
      <c r="F13" s="210">
        <f>DSF!$S23*IF(Main!$E$14&lt;&gt;0,'CB14'!Y7,0)</f>
        <v>0.30553319069087864</v>
      </c>
      <c r="G13" s="210">
        <f>DSF!$S23*IF(Main!$F$14&lt;&gt;0,'CY14'!U7,0)</f>
        <v>0.38196587960683642</v>
      </c>
      <c r="H13" s="210">
        <f>DSF!$S23*IF(Main!$G$14&lt;&gt;0,'I14'!L7,0)</f>
        <v>0</v>
      </c>
    </row>
    <row r="14" spans="1:8" x14ac:dyDescent="0.45">
      <c r="B14" s="393"/>
      <c r="C14" s="193">
        <v>0.03</v>
      </c>
      <c r="D14" s="210">
        <f>DSF!$S24*IF(Main!$C$14&lt;&gt;0,'ASK14'!E8,0)</f>
        <v>0.33424320015678755</v>
      </c>
      <c r="E14" s="210">
        <f>DSF!$S24*IF(Main!$D$14&lt;&gt;0,BSSA14!S8,0)</f>
        <v>0.35999527856711594</v>
      </c>
      <c r="F14" s="210">
        <f>DSF!$S24*IF(Main!$E$14&lt;&gt;0,'CB14'!Y8,0)</f>
        <v>0.32650564415419497</v>
      </c>
      <c r="G14" s="210">
        <f>DSF!$S24*IF(Main!$F$14&lt;&gt;0,'CY14'!U8,0)</f>
        <v>0.39654876394917393</v>
      </c>
      <c r="H14" s="210">
        <f>DSF!$S24*IF(Main!$G$14&lt;&gt;0,'I14'!L8,0)</f>
        <v>0</v>
      </c>
    </row>
    <row r="15" spans="1:8" x14ac:dyDescent="0.45">
      <c r="B15" s="393"/>
      <c r="C15" s="193">
        <v>0.05</v>
      </c>
      <c r="D15" s="210">
        <f>DSF!$S25*IF(Main!$C$14&lt;&gt;0,'ASK14'!E9,0)</f>
        <v>0.36231023906326904</v>
      </c>
      <c r="E15" s="210">
        <f>DSF!$S25*IF(Main!$D$14&lt;&gt;0,BSSA14!S9,0)</f>
        <v>0.39670952558095696</v>
      </c>
      <c r="F15" s="210">
        <f>DSF!$S25*IF(Main!$E$14&lt;&gt;0,'CB14'!Y9,0)</f>
        <v>0.38111750431238639</v>
      </c>
      <c r="G15" s="210">
        <f>DSF!$S25*IF(Main!$F$14&lt;&gt;0,'CY14'!U9,0)</f>
        <v>0.45853448464500413</v>
      </c>
      <c r="H15" s="210">
        <f>DSF!$S25*IF(Main!$G$14&lt;&gt;0,'I14'!L9,0)</f>
        <v>0</v>
      </c>
    </row>
    <row r="16" spans="1:8" x14ac:dyDescent="0.45">
      <c r="B16" s="393"/>
      <c r="C16" s="194">
        <v>7.4999999999999997E-2</v>
      </c>
      <c r="D16" s="210">
        <f>DSF!$S26*IF(Main!$C$14&lt;&gt;0,'ASK14'!E10,0)</f>
        <v>0.43701049907352019</v>
      </c>
      <c r="E16" s="210">
        <f>DSF!$S26*IF(Main!$D$14&lt;&gt;0,BSSA14!S10,0)</f>
        <v>0.46011622527729096</v>
      </c>
      <c r="F16" s="210">
        <f>DSF!$S26*IF(Main!$E$14&lt;&gt;0,'CB14'!Y10,0)</f>
        <v>0.44958580139270332</v>
      </c>
      <c r="G16" s="210">
        <f>DSF!$S26*IF(Main!$F$14&lt;&gt;0,'CY14'!U10,0)</f>
        <v>0.56664595275063656</v>
      </c>
      <c r="H16" s="210">
        <f>DSF!$S26*IF(Main!$G$14&lt;&gt;0,'I14'!L10,0)</f>
        <v>0</v>
      </c>
    </row>
    <row r="17" spans="2:8" x14ac:dyDescent="0.45">
      <c r="B17" s="393"/>
      <c r="C17" s="193">
        <v>0.1</v>
      </c>
      <c r="D17" s="210">
        <f>DSF!$S27*IF(Main!$C$14&lt;&gt;0,'ASK14'!E11,0)</f>
        <v>0.52592710151041089</v>
      </c>
      <c r="E17" s="210">
        <f>DSF!$S27*IF(Main!$D$14&lt;&gt;0,BSSA14!S11,0)</f>
        <v>0.52530670647365818</v>
      </c>
      <c r="F17" s="210">
        <f>DSF!$S27*IF(Main!$E$14&lt;&gt;0,'CB14'!Y11,0)</f>
        <v>0.4995585378016521</v>
      </c>
      <c r="G17" s="210">
        <f>DSF!$S27*IF(Main!$F$14&lt;&gt;0,'CY14'!U11,0)</f>
        <v>0.65792413260931781</v>
      </c>
      <c r="H17" s="210">
        <f>DSF!$S27*IF(Main!$G$14&lt;&gt;0,'I14'!L11,0)</f>
        <v>0</v>
      </c>
    </row>
    <row r="18" spans="2:8" x14ac:dyDescent="0.45">
      <c r="B18" s="393"/>
      <c r="C18" s="193">
        <v>0.15</v>
      </c>
      <c r="D18" s="210">
        <f>DSF!$S28*IF(Main!$C$14&lt;&gt;0,'ASK14'!E12,0)</f>
        <v>0.72786813132202788</v>
      </c>
      <c r="E18" s="210">
        <f>DSF!$S28*IF(Main!$D$14&lt;&gt;0,BSSA14!S12,0)</f>
        <v>0.63177110352214716</v>
      </c>
      <c r="F18" s="210">
        <f>DSF!$S28*IF(Main!$E$14&lt;&gt;0,'CB14'!Y12,0)</f>
        <v>0.56017972459219612</v>
      </c>
      <c r="G18" s="210">
        <f>DSF!$S28*IF(Main!$F$14&lt;&gt;0,'CY14'!U12,0)</f>
        <v>0.77611224008482582</v>
      </c>
      <c r="H18" s="210">
        <f>DSF!$S28*IF(Main!$G$14&lt;&gt;0,'I14'!L12,0)</f>
        <v>0</v>
      </c>
    </row>
    <row r="19" spans="2:8" x14ac:dyDescent="0.45">
      <c r="B19" s="393"/>
      <c r="C19" s="193">
        <v>0.2</v>
      </c>
      <c r="D19" s="210">
        <f>DSF!$S29*IF(Main!$C$14&lt;&gt;0,'ASK14'!E13,0)</f>
        <v>0.88269219392285148</v>
      </c>
      <c r="E19" s="210">
        <f>DSF!$S29*IF(Main!$D$14&lt;&gt;0,BSSA14!S13,0)</f>
        <v>0.69149836228852246</v>
      </c>
      <c r="F19" s="210">
        <f>DSF!$S29*IF(Main!$E$14&lt;&gt;0,'CB14'!Y13,0)</f>
        <v>0.58657665376680079</v>
      </c>
      <c r="G19" s="210">
        <f>DSF!$S29*IF(Main!$F$14&lt;&gt;0,'CY14'!U13,0)</f>
        <v>0.85285809075195695</v>
      </c>
      <c r="H19" s="210">
        <f>DSF!$S29*IF(Main!$G$14&lt;&gt;0,'I14'!L13,0)</f>
        <v>0</v>
      </c>
    </row>
    <row r="20" spans="2:8" x14ac:dyDescent="0.45">
      <c r="B20" s="393"/>
      <c r="C20" s="193">
        <v>0.25</v>
      </c>
      <c r="D20" s="210">
        <f>DSF!$S30*IF(Main!$C$14&lt;&gt;0,'ASK14'!E14,0)</f>
        <v>0.95303402692179895</v>
      </c>
      <c r="E20" s="210">
        <f>DSF!$S30*IF(Main!$D$14&lt;&gt;0,BSSA14!S14,0)</f>
        <v>0.69982849952833825</v>
      </c>
      <c r="F20" s="210">
        <f>DSF!$S30*IF(Main!$E$14&lt;&gt;0,'CB14'!Y14,0)</f>
        <v>0.62599859138419467</v>
      </c>
      <c r="G20" s="210">
        <f>DSF!$S30*IF(Main!$F$14&lt;&gt;0,'CY14'!U14,0)</f>
        <v>0.88951713759358131</v>
      </c>
      <c r="H20" s="210">
        <f>DSF!$S30*IF(Main!$G$14&lt;&gt;0,'I14'!L14,0)</f>
        <v>0</v>
      </c>
    </row>
    <row r="21" spans="2:8" x14ac:dyDescent="0.45">
      <c r="B21" s="393"/>
      <c r="C21" s="193">
        <v>0.3</v>
      </c>
      <c r="D21" s="210">
        <f>DSF!$S31*IF(Main!$C$14&lt;&gt;0,'ASK14'!E15,0)</f>
        <v>0.97131760597672745</v>
      </c>
      <c r="E21" s="210">
        <f>DSF!$S31*IF(Main!$D$14&lt;&gt;0,BSSA14!S15,0)</f>
        <v>0.70021759336147837</v>
      </c>
      <c r="F21" s="210">
        <f>DSF!$S31*IF(Main!$E$14&lt;&gt;0,'CB14'!Y15,0)</f>
        <v>0.65060804648086712</v>
      </c>
      <c r="G21" s="210">
        <f>DSF!$S31*IF(Main!$F$14&lt;&gt;0,'CY14'!U15,0)</f>
        <v>0.89235525135678506</v>
      </c>
      <c r="H21" s="210">
        <f>DSF!$S31*IF(Main!$G$14&lt;&gt;0,'I14'!L15,0)</f>
        <v>0</v>
      </c>
    </row>
    <row r="22" spans="2:8" x14ac:dyDescent="0.45">
      <c r="B22" s="393"/>
      <c r="C22" s="193">
        <v>0.4</v>
      </c>
      <c r="D22" s="210">
        <f>DSF!$S32*IF(Main!$C$14&lt;&gt;0,'ASK14'!E16,0)</f>
        <v>0.91333443431650541</v>
      </c>
      <c r="E22" s="210">
        <f>DSF!$S32*IF(Main!$D$14&lt;&gt;0,BSSA14!S16,0)</f>
        <v>0.66333653294566097</v>
      </c>
      <c r="F22" s="210">
        <f>DSF!$S32*IF(Main!$E$14&lt;&gt;0,'CB14'!Y16,0)</f>
        <v>0.66471537074972409</v>
      </c>
      <c r="G22" s="210">
        <f>DSF!$S32*IF(Main!$F$14&lt;&gt;0,'CY14'!U16,0)</f>
        <v>0.85380135526870649</v>
      </c>
      <c r="H22" s="210">
        <f>DSF!$S32*IF(Main!$G$14&lt;&gt;0,'I14'!L16,0)</f>
        <v>0</v>
      </c>
    </row>
    <row r="23" spans="2:8" x14ac:dyDescent="0.45">
      <c r="B23" s="393"/>
      <c r="C23" s="193">
        <v>0.5</v>
      </c>
      <c r="D23" s="210">
        <f>DSF!$S33*IF(Main!$C$14&lt;&gt;0,'ASK14'!E17,0)</f>
        <v>0.80616505487837975</v>
      </c>
      <c r="E23" s="210">
        <f>DSF!$S33*IF(Main!$D$14&lt;&gt;0,BSSA14!S17,0)</f>
        <v>0.62243062161760987</v>
      </c>
      <c r="F23" s="210">
        <f>DSF!$S33*IF(Main!$E$14&lt;&gt;0,'CB14'!Y17,0)</f>
        <v>0.63246448829754565</v>
      </c>
      <c r="G23" s="210">
        <f>DSF!$S33*IF(Main!$F$14&lt;&gt;0,'CY14'!U17,0)</f>
        <v>0.80035355341187031</v>
      </c>
      <c r="H23" s="210">
        <f>DSF!$S33*IF(Main!$G$14&lt;&gt;0,'I14'!L17,0)</f>
        <v>0</v>
      </c>
    </row>
    <row r="24" spans="2:8" x14ac:dyDescent="0.45">
      <c r="B24" s="393"/>
      <c r="C24" s="193">
        <v>0.75</v>
      </c>
      <c r="D24" s="210">
        <f>DSF!$S34*IF(Main!$C$14&lt;&gt;0,'ASK14'!E18,0)</f>
        <v>0.60326362260730948</v>
      </c>
      <c r="E24" s="210">
        <f>DSF!$S34*IF(Main!$D$14&lt;&gt;0,BSSA14!S18,0)</f>
        <v>0.49618084479144392</v>
      </c>
      <c r="F24" s="210">
        <f>DSF!$S34*IF(Main!$E$14&lt;&gt;0,'CB14'!Y18,0)</f>
        <v>0.48775084247583184</v>
      </c>
      <c r="G24" s="210">
        <f>DSF!$S34*IF(Main!$F$14&lt;&gt;0,'CY14'!U18,0)</f>
        <v>0.63242906630190776</v>
      </c>
      <c r="H24" s="210">
        <f>DSF!$S34*IF(Main!$G$14&lt;&gt;0,'I14'!L18,0)</f>
        <v>0</v>
      </c>
    </row>
    <row r="25" spans="2:8" x14ac:dyDescent="0.45">
      <c r="B25" s="393"/>
      <c r="C25" s="195">
        <v>1</v>
      </c>
      <c r="D25" s="210">
        <f>DSF!$S35*IF(Main!$C$14&lt;&gt;0,'ASK14'!E19,0)</f>
        <v>0.4679777665846685</v>
      </c>
      <c r="E25" s="210">
        <f>DSF!$S35*IF(Main!$D$14&lt;&gt;0,BSSA14!S19,0)</f>
        <v>0.42212876372661429</v>
      </c>
      <c r="F25" s="210">
        <f>DSF!$S35*IF(Main!$E$14&lt;&gt;0,'CB14'!Y19,0)</f>
        <v>0.41482316112110362</v>
      </c>
      <c r="G25" s="210">
        <f>DSF!$S35*IF(Main!$F$14&lt;&gt;0,'CY14'!U19,0)</f>
        <v>0.49545780292527897</v>
      </c>
      <c r="H25" s="210">
        <f>DSF!$S35*IF(Main!$G$14&lt;&gt;0,'I14'!L19,0)</f>
        <v>0</v>
      </c>
    </row>
    <row r="26" spans="2:8" x14ac:dyDescent="0.45">
      <c r="B26" s="393"/>
      <c r="C26" s="195">
        <v>1.5</v>
      </c>
      <c r="D26" s="210">
        <f>DSF!$S36*IF(Main!$C$14&lt;&gt;0,'ASK14'!E20,0)</f>
        <v>0.32174648094642033</v>
      </c>
      <c r="E26" s="210">
        <f>DSF!$S36*IF(Main!$D$14&lt;&gt;0,BSSA14!S20,0)</f>
        <v>0.32890576701465774</v>
      </c>
      <c r="F26" s="210">
        <f>DSF!$S36*IF(Main!$E$14&lt;&gt;0,'CB14'!Y20,0)</f>
        <v>0.32789578260092311</v>
      </c>
      <c r="G26" s="210">
        <f>DSF!$S36*IF(Main!$F$14&lt;&gt;0,'CY14'!U20,0)</f>
        <v>0.32648639839515176</v>
      </c>
      <c r="H26" s="210">
        <f>DSF!$S36*IF(Main!$G$14&lt;&gt;0,'I14'!L20,0)</f>
        <v>0</v>
      </c>
    </row>
    <row r="27" spans="2:8" x14ac:dyDescent="0.45">
      <c r="B27" s="393"/>
      <c r="C27" s="195">
        <v>2</v>
      </c>
      <c r="D27" s="210">
        <f>DSF!$S37*IF(Main!$C$14&lt;&gt;0,'ASK14'!E21,0)</f>
        <v>0.23157690479628851</v>
      </c>
      <c r="E27" s="210">
        <f>DSF!$S37*IF(Main!$D$14&lt;&gt;0,BSSA14!S21,0)</f>
        <v>0.26890150620686121</v>
      </c>
      <c r="F27" s="210">
        <f>DSF!$S37*IF(Main!$E$14&lt;&gt;0,'CB14'!Y21,0)</f>
        <v>0.26158052510861113</v>
      </c>
      <c r="G27" s="210">
        <f>DSF!$S37*IF(Main!$F$14&lt;&gt;0,'CY14'!U21,0)</f>
        <v>0.24067136431193528</v>
      </c>
      <c r="H27" s="210">
        <f>DSF!$S37*IF(Main!$G$14&lt;&gt;0,'I14'!L21,0)</f>
        <v>0</v>
      </c>
    </row>
    <row r="28" spans="2:8" x14ac:dyDescent="0.45">
      <c r="B28" s="393"/>
      <c r="C28" s="195">
        <v>3</v>
      </c>
      <c r="D28" s="210">
        <f>DSF!$S38*IF(Main!$C$14&lt;&gt;0,'ASK14'!E22,0)</f>
        <v>0.15387124876434033</v>
      </c>
      <c r="E28" s="210">
        <f>DSF!$S38*IF(Main!$D$14&lt;&gt;0,BSSA14!S22,0)</f>
        <v>0.21697065135303942</v>
      </c>
      <c r="F28" s="210">
        <f>DSF!$S38*IF(Main!$E$14&lt;&gt;0,'CB14'!Y22,0)</f>
        <v>0.19513927111428425</v>
      </c>
      <c r="G28" s="210">
        <f>DSF!$S38*IF(Main!$F$14&lt;&gt;0,'CY14'!U22,0)</f>
        <v>0.15467313126514487</v>
      </c>
      <c r="H28" s="210">
        <f>DSF!$S38*IF(Main!$G$14&lt;&gt;0,'I14'!L22,0)</f>
        <v>0</v>
      </c>
    </row>
    <row r="29" spans="2:8" x14ac:dyDescent="0.45">
      <c r="B29" s="393"/>
      <c r="C29" s="195">
        <v>4</v>
      </c>
      <c r="D29" s="210">
        <f>DSF!$S39*IF(Main!$C$14&lt;&gt;0,'ASK14'!E23,0)</f>
        <v>0.11724930757432761</v>
      </c>
      <c r="E29" s="210">
        <f>DSF!$S39*IF(Main!$D$14&lt;&gt;0,BSSA14!S23,0)</f>
        <v>0.18778789448071942</v>
      </c>
      <c r="F29" s="210">
        <f>DSF!$S39*IF(Main!$E$14&lt;&gt;0,'CB14'!Y23,0)</f>
        <v>0.15180748005984085</v>
      </c>
      <c r="G29" s="210">
        <f>DSF!$S39*IF(Main!$F$14&lt;&gt;0,'CY14'!U23,0)</f>
        <v>0.1045723137806872</v>
      </c>
      <c r="H29" s="210">
        <f>DSF!$S39*IF(Main!$G$14&lt;&gt;0,'I14'!L23,0)</f>
        <v>0</v>
      </c>
    </row>
    <row r="30" spans="2:8" x14ac:dyDescent="0.45">
      <c r="B30" s="393"/>
      <c r="C30" s="195">
        <v>5</v>
      </c>
      <c r="D30" s="210">
        <f>DSF!$S40*IF(Main!$C$14&lt;&gt;0,'ASK14'!E24,0)</f>
        <v>9.3401195568597786E-2</v>
      </c>
      <c r="E30" s="210">
        <f>DSF!$S40*IF(Main!$D$14&lt;&gt;0,BSSA14!S24,0)</f>
        <v>0.16350491017135704</v>
      </c>
      <c r="F30" s="210">
        <f>DSF!$S40*IF(Main!$E$14&lt;&gt;0,'CB14'!Y24,0)</f>
        <v>0.11550745544717672</v>
      </c>
      <c r="G30" s="210">
        <f>DSF!$S40*IF(Main!$F$14&lt;&gt;0,'CY14'!U24,0)</f>
        <v>7.2331301986703136E-2</v>
      </c>
      <c r="H30" s="210">
        <f>DSF!$S40*IF(Main!$G$14&lt;&gt;0,'I14'!L24,0)</f>
        <v>0</v>
      </c>
    </row>
    <row r="31" spans="2:8" x14ac:dyDescent="0.45">
      <c r="B31" s="393"/>
      <c r="C31" s="195">
        <v>7.5</v>
      </c>
      <c r="D31" s="210">
        <f>DSF!$S41*IF(Main!$C$14&lt;&gt;0,'ASK14'!E25,0)</f>
        <v>5.9836683703680352E-2</v>
      </c>
      <c r="E31" s="210">
        <f>DSF!$S41*IF(Main!$D$14&lt;&gt;0,BSSA14!S25,0)</f>
        <v>0.11367161515072871</v>
      </c>
      <c r="F31" s="210">
        <f>DSF!$S41*IF(Main!$E$14&lt;&gt;0,'CB14'!Y25,0)</f>
        <v>5.4886554882192365E-2</v>
      </c>
      <c r="G31" s="210">
        <f>DSF!$S41*IF(Main!$F$14&lt;&gt;0,'CY14'!U25,0)</f>
        <v>3.517332596422118E-2</v>
      </c>
      <c r="H31" s="210">
        <f>DSF!$S41*IF(Main!$G$14&lt;&gt;0,'I14'!L25,0)</f>
        <v>0</v>
      </c>
    </row>
    <row r="32" spans="2:8" x14ac:dyDescent="0.45">
      <c r="B32" s="393"/>
      <c r="C32" s="195">
        <v>10</v>
      </c>
      <c r="D32" s="210">
        <f>DSF!$S42*IF(Main!$C$14&lt;&gt;0,'ASK14'!E26,0)</f>
        <v>4.0879616923746018E-2</v>
      </c>
      <c r="E32" s="210">
        <f>DSF!$S42*IF(Main!$D$14&lt;&gt;0,BSSA14!S26,0)</f>
        <v>7.6022757224464999E-2</v>
      </c>
      <c r="F32" s="210">
        <f>DSF!$S42*IF(Main!$E$14&lt;&gt;0,'CB14'!Y26,0)</f>
        <v>2.6540675874834871E-2</v>
      </c>
      <c r="G32" s="210">
        <f>DSF!$S42*IF(Main!$F$14&lt;&gt;0,'CY14'!U26,0)</f>
        <v>2.0644226414196769E-2</v>
      </c>
      <c r="H32" s="210">
        <f>DSF!$S42*IF(Main!$G$14&lt;&gt;0,'I14'!L26,0)</f>
        <v>0</v>
      </c>
    </row>
    <row r="33" spans="2:8" x14ac:dyDescent="0.45">
      <c r="B33" s="197"/>
      <c r="C33" s="195"/>
      <c r="D33" s="210"/>
      <c r="E33" s="210"/>
      <c r="F33" s="210"/>
      <c r="G33" s="210"/>
      <c r="H33" s="210"/>
    </row>
    <row r="34" spans="2:8" x14ac:dyDescent="0.45">
      <c r="B34" s="198" t="s">
        <v>34</v>
      </c>
      <c r="C34" s="199">
        <v>0</v>
      </c>
      <c r="D34" s="210">
        <f>DSF!$S22*IF(Main!$C$14&lt;&gt;0,'ASK14'!$E28,0)</f>
        <v>0.33160255623034579</v>
      </c>
      <c r="E34" s="210">
        <f>DSF!$S22*IF(Main!$D$14&lt;&gt;0,BSSA14!$S28,0)</f>
        <v>0.35801439683696568</v>
      </c>
      <c r="F34" s="210">
        <f>DSF!$S22*IF(Main!$E$14&lt;&gt;0,'CB14'!$Y28,0)</f>
        <v>0.29774794685536204</v>
      </c>
      <c r="G34" s="210">
        <f>DSF!$S22*IF(Main!$F$14&lt;&gt;0,'CY14'!$U28,0)</f>
        <v>0.37962427597522086</v>
      </c>
      <c r="H34" s="210">
        <f>DSF!$S22*IF(Main!$G$14&lt;&gt;0,'I14'!$L28,0)</f>
        <v>0</v>
      </c>
    </row>
    <row r="35" spans="2:8" x14ac:dyDescent="0.45">
      <c r="B35" s="198" t="s">
        <v>35</v>
      </c>
      <c r="C35" s="199">
        <v>-1</v>
      </c>
      <c r="D35" s="210">
        <f>DSF!$S23*IF(Main!$C$14&lt;&gt;0,'ASK14'!$E29,0)</f>
        <v>47.329010139753478</v>
      </c>
      <c r="E35" s="210">
        <f>DSF!$S23*IF(Main!$D$14&lt;&gt;0,BSSA14!$S29,0)</f>
        <v>54.314276063424408</v>
      </c>
      <c r="F35" s="210">
        <f>DSF!$S23*IF(Main!$E$14&lt;&gt;0,'CB14'!$Y29,0)</f>
        <v>58.985083642924003</v>
      </c>
      <c r="G35" s="210">
        <f>DSF!$S23*IF(Main!$F$14&lt;&gt;0,'CY14'!$U29,0)</f>
        <v>45.94972448504906</v>
      </c>
      <c r="H35" s="210">
        <f>DSF!$S23*IF(Main!$G$14&lt;&gt;0,'I14'!$L29,0)</f>
        <v>0</v>
      </c>
    </row>
  </sheetData>
  <mergeCells count="2">
    <mergeCell ref="B12:B32"/>
    <mergeCell ref="D11:H11"/>
  </mergeCells>
  <conditionalFormatting sqref="D7:F7">
    <cfRule type="expression" dxfId="0" priority="1">
      <formula>SUM($C$15:$G$15)&gt;1.01</formula>
    </cfRule>
  </conditionalFormatting>
  <dataValidations count="1">
    <dataValidation type="list" allowBlank="1" showInputMessage="1" showErrorMessage="1" sqref="B2" xr:uid="{00000000-0002-0000-0D00-000000000000}">
      <formula1>$T$84:$T$85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>
    <tabColor rgb="FFC00000"/>
  </sheetPr>
  <dimension ref="A1:AW42"/>
  <sheetViews>
    <sheetView topLeftCell="A15" workbookViewId="0">
      <selection activeCell="I38" sqref="I38"/>
    </sheetView>
  </sheetViews>
  <sheetFormatPr defaultColWidth="8.86328125" defaultRowHeight="14.25" x14ac:dyDescent="0.45"/>
  <cols>
    <col min="1" max="1" width="10.265625" customWidth="1"/>
    <col min="2" max="2" width="10.3984375" bestFit="1" customWidth="1"/>
    <col min="3" max="3" width="11" customWidth="1"/>
    <col min="4" max="4" width="10.3984375" customWidth="1"/>
    <col min="5" max="12" width="10.3984375" bestFit="1" customWidth="1"/>
    <col min="13" max="13" width="13" customWidth="1"/>
    <col min="14" max="14" width="3.3984375" customWidth="1"/>
    <col min="15" max="15" width="10.73046875" customWidth="1"/>
    <col min="16" max="16" width="10.3984375" bestFit="1" customWidth="1"/>
    <col min="17" max="17" width="8" customWidth="1"/>
    <col min="18" max="18" width="11" style="29" customWidth="1"/>
    <col min="19" max="19" width="9.265625" bestFit="1" customWidth="1"/>
    <col min="20" max="20" width="5.3984375" customWidth="1"/>
    <col min="21" max="23" width="8.86328125" style="27"/>
  </cols>
  <sheetData>
    <row r="1" spans="1:49" ht="15.75" x14ac:dyDescent="0.5">
      <c r="A1" s="402"/>
      <c r="B1" s="141" t="s">
        <v>487</v>
      </c>
      <c r="E1" s="142"/>
      <c r="F1" s="4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</row>
    <row r="2" spans="1:49" ht="15.75" x14ac:dyDescent="0.45">
      <c r="A2" s="402"/>
      <c r="B2" s="143" t="s">
        <v>486</v>
      </c>
      <c r="E2" s="142"/>
      <c r="F2" s="49"/>
      <c r="Z2" s="193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</row>
    <row r="3" spans="1:49" x14ac:dyDescent="0.45">
      <c r="A3" s="402"/>
      <c r="Z3" s="193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</row>
    <row r="4" spans="1:49" ht="28.5" x14ac:dyDescent="0.85">
      <c r="A4" s="144" t="s">
        <v>299</v>
      </c>
      <c r="Z4" s="193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</row>
    <row r="5" spans="1:49" ht="28.5" x14ac:dyDescent="0.85">
      <c r="A5" s="144"/>
      <c r="Z5" s="193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</row>
    <row r="6" spans="1:49" ht="15.75" x14ac:dyDescent="0.5">
      <c r="A6" s="145" t="s">
        <v>300</v>
      </c>
      <c r="B6" s="146"/>
      <c r="Z6" s="194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</row>
    <row r="7" spans="1:49" ht="15.75" x14ac:dyDescent="0.5">
      <c r="A7" s="141" t="s">
        <v>301</v>
      </c>
      <c r="Z7" s="193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</row>
    <row r="8" spans="1:49" x14ac:dyDescent="0.45">
      <c r="R8"/>
      <c r="U8"/>
      <c r="V8"/>
      <c r="W8"/>
      <c r="Z8" s="193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</row>
    <row r="9" spans="1:49" ht="15.75" x14ac:dyDescent="0.5">
      <c r="A9" s="145" t="s">
        <v>302</v>
      </c>
      <c r="B9" s="147"/>
      <c r="Z9" s="193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</row>
    <row r="10" spans="1:49" ht="15.75" x14ac:dyDescent="0.5">
      <c r="A10" s="141" t="s">
        <v>303</v>
      </c>
      <c r="Z10" s="193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</row>
    <row r="11" spans="1:49" ht="15.75" x14ac:dyDescent="0.5">
      <c r="A11" s="141" t="s">
        <v>304</v>
      </c>
      <c r="Z11" s="193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</row>
    <row r="12" spans="1:49" ht="15.75" x14ac:dyDescent="0.5">
      <c r="A12" s="141"/>
      <c r="Z12" s="193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</row>
    <row r="13" spans="1:49" ht="15.75" x14ac:dyDescent="0.5">
      <c r="A13" s="141" t="s">
        <v>604</v>
      </c>
      <c r="Z13" s="193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</row>
    <row r="14" spans="1:49" ht="16.5" customHeight="1" x14ac:dyDescent="0.85">
      <c r="A14" s="144"/>
      <c r="Z14" s="193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</row>
    <row r="15" spans="1:49" ht="19.5" x14ac:dyDescent="0.6">
      <c r="A15" s="148" t="s">
        <v>305</v>
      </c>
      <c r="B15" s="148"/>
      <c r="C15" s="148"/>
      <c r="D15" s="149"/>
      <c r="Z15" s="193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</row>
    <row r="16" spans="1:49" ht="19.5" x14ac:dyDescent="0.6">
      <c r="A16" s="150" t="s">
        <v>306</v>
      </c>
      <c r="B16" s="169">
        <f>Main!$B$24</f>
        <v>8.1</v>
      </c>
      <c r="C16" s="149" t="s">
        <v>307</v>
      </c>
      <c r="D16" s="149"/>
      <c r="Z16" s="193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</row>
    <row r="17" spans="1:38" ht="19.5" x14ac:dyDescent="0.6">
      <c r="A17" s="150" t="s">
        <v>308</v>
      </c>
      <c r="B17" s="169">
        <f>Main!$B$27</f>
        <v>15.08</v>
      </c>
      <c r="C17" s="149" t="s">
        <v>309</v>
      </c>
      <c r="D17" s="149"/>
      <c r="Z17" s="195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</row>
    <row r="18" spans="1:38" ht="19.5" x14ac:dyDescent="0.6">
      <c r="A18" s="150" t="s">
        <v>310</v>
      </c>
      <c r="B18" s="151">
        <f>Main!$C$17</f>
        <v>5</v>
      </c>
      <c r="C18" s="149" t="s">
        <v>311</v>
      </c>
      <c r="D18" s="149"/>
      <c r="Z18" s="195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</row>
    <row r="19" spans="1:38" x14ac:dyDescent="0.45">
      <c r="B19" s="29"/>
      <c r="Z19" s="195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</row>
    <row r="20" spans="1:38" x14ac:dyDescent="0.45">
      <c r="Z20" s="195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</row>
    <row r="21" spans="1:38" ht="19.899999999999999" thickBot="1" x14ac:dyDescent="0.65">
      <c r="A21" s="152" t="s">
        <v>312</v>
      </c>
      <c r="B21" s="153" t="s">
        <v>313</v>
      </c>
      <c r="C21" s="154" t="s">
        <v>314</v>
      </c>
      <c r="D21" s="154" t="s">
        <v>315</v>
      </c>
      <c r="E21" s="154" t="s">
        <v>316</v>
      </c>
      <c r="F21" s="154" t="s">
        <v>317</v>
      </c>
      <c r="G21" s="154" t="s">
        <v>318</v>
      </c>
      <c r="H21" s="154" t="s">
        <v>319</v>
      </c>
      <c r="I21" s="154" t="s">
        <v>320</v>
      </c>
      <c r="J21" s="154" t="s">
        <v>321</v>
      </c>
      <c r="K21" s="155" t="s">
        <v>322</v>
      </c>
      <c r="L21" s="156" t="s">
        <v>152</v>
      </c>
      <c r="M21" s="157" t="s">
        <v>323</v>
      </c>
      <c r="O21" s="158" t="s">
        <v>324</v>
      </c>
      <c r="P21" s="158" t="s">
        <v>325</v>
      </c>
      <c r="Q21" s="158" t="s">
        <v>326</v>
      </c>
      <c r="R21" s="159" t="s">
        <v>327</v>
      </c>
      <c r="S21" s="158" t="s">
        <v>328</v>
      </c>
      <c r="U21" s="160" t="s">
        <v>329</v>
      </c>
      <c r="V21" s="160" t="s">
        <v>330</v>
      </c>
      <c r="W21" s="161" t="s">
        <v>331</v>
      </c>
      <c r="Z21" s="195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</row>
    <row r="22" spans="1:38" ht="15.75" x14ac:dyDescent="0.5">
      <c r="A22" s="162">
        <v>0.01</v>
      </c>
      <c r="B22" s="163">
        <v>1.73E-3</v>
      </c>
      <c r="C22" s="164">
        <v>-2.0699999999999999E-4</v>
      </c>
      <c r="D22" s="164">
        <v>-6.29E-4</v>
      </c>
      <c r="E22" s="164">
        <v>1.08E-6</v>
      </c>
      <c r="F22" s="164">
        <v>-8.2399999999999997E-5</v>
      </c>
      <c r="G22" s="164">
        <v>7.36E-5</v>
      </c>
      <c r="H22" s="164">
        <v>-1.07E-3</v>
      </c>
      <c r="I22" s="164">
        <v>9.0799999999999995E-4</v>
      </c>
      <c r="J22" s="164">
        <v>-2.02E-4</v>
      </c>
      <c r="K22" s="163">
        <v>-3.7000000000000002E-3</v>
      </c>
      <c r="L22" s="164">
        <v>2.3000000000000001E-4</v>
      </c>
      <c r="M22" s="165">
        <v>1.8799999999999999E-4</v>
      </c>
      <c r="O22" s="166">
        <f>B22+C22*LN($B$18)+D22*(LN($B$18)^2)</f>
        <v>-2.3244630568742641E-4</v>
      </c>
      <c r="P22" s="166">
        <f>(E22+F22*LN($B$18)+G22*(LN($B$18)^2))*$B$16</f>
        <v>4.787722810002409E-4</v>
      </c>
      <c r="Q22">
        <f>(H22+I22*LN($B$18)+J22*(LN($B$18)^2))*LN($B$17+1)</f>
        <v>-3.6627630180038597E-4</v>
      </c>
      <c r="R22" s="167">
        <f>O22+P22+Q22</f>
        <v>-1.1995032648757148E-4</v>
      </c>
      <c r="S22" s="29">
        <f>ROUND(EXP(R22),3)</f>
        <v>1</v>
      </c>
      <c r="U22" s="27">
        <f>(LN($B$18/5)*K22+(LN($B$18/5)^2)*L22)*IF($B$18&lt;=5,1,0)</f>
        <v>0</v>
      </c>
      <c r="V22" s="27">
        <f>-(LN($B$18/5)*K22+(LN($B$18/5)^2)*L22)*IF($B$18&gt;5,1,0)</f>
        <v>0</v>
      </c>
      <c r="W22" s="168">
        <f>U22+V22</f>
        <v>0</v>
      </c>
      <c r="Z22" s="195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</row>
    <row r="23" spans="1:38" ht="15.75" x14ac:dyDescent="0.5">
      <c r="A23" s="162">
        <v>0.02</v>
      </c>
      <c r="B23" s="163">
        <v>5.5300000000000002E-2</v>
      </c>
      <c r="C23" s="164">
        <v>-3.7699999999999997E-2</v>
      </c>
      <c r="D23" s="164">
        <v>2.15E-3</v>
      </c>
      <c r="E23" s="164">
        <v>-4.3E-3</v>
      </c>
      <c r="F23" s="164">
        <v>3.2100000000000002E-3</v>
      </c>
      <c r="G23" s="164">
        <v>-3.3199999999999999E-4</v>
      </c>
      <c r="H23" s="164">
        <v>-4.7499999999999999E-3</v>
      </c>
      <c r="I23" s="164">
        <v>2.5200000000000001E-3</v>
      </c>
      <c r="J23" s="164">
        <v>2.2900000000000001E-4</v>
      </c>
      <c r="K23" s="163">
        <v>-2.1899999999999999E-2</v>
      </c>
      <c r="L23" s="164">
        <v>2.1099999999999999E-3</v>
      </c>
      <c r="M23" s="165">
        <v>4.9899999999999999E-4</v>
      </c>
      <c r="O23" s="166">
        <f t="shared" ref="O23:O42" si="0">B23+C23*LN($B$18)+D23*(LN($B$18)^2)</f>
        <v>1.9331504829192721E-4</v>
      </c>
      <c r="P23" s="166">
        <f t="shared" ref="P23:P42" si="1">(E23+F23*LN($B$18)+G23*(LN($B$18)^2))*$B$16</f>
        <v>5.1186233707397057E-5</v>
      </c>
      <c r="Q23">
        <f t="shared" ref="Q23:Q42" si="2">(H23+I23*LN($B$18)+J23*(LN($B$18)^2))*LN($B$17+1)</f>
        <v>-2.8064619582122399E-4</v>
      </c>
      <c r="R23" s="167">
        <f t="shared" ref="R23:R42" si="3">O23+P23+Q23</f>
        <v>-3.6144913821899714E-5</v>
      </c>
      <c r="S23" s="29">
        <f t="shared" ref="S23:S42" si="4">ROUND(EXP(R23),3)</f>
        <v>1</v>
      </c>
      <c r="U23" s="27">
        <f t="shared" ref="U23:U42" si="5">(LN($B$18/5)*K23+(LN($B$18/5)^2)*L23)*IF($B$18&lt;=5,1,0)</f>
        <v>0</v>
      </c>
      <c r="V23" s="27">
        <f t="shared" ref="V23:V42" si="6">-(LN($B$18/5)*K23+(LN($B$18/5)^2)*L23)*IF($B$18&gt;5,1,0)</f>
        <v>0</v>
      </c>
      <c r="W23" s="168">
        <f t="shared" ref="W23:W42" si="7">U23+V23</f>
        <v>0</v>
      </c>
      <c r="Z23" s="195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</row>
    <row r="24" spans="1:38" ht="15.75" x14ac:dyDescent="0.5">
      <c r="A24" s="162">
        <v>0.03</v>
      </c>
      <c r="B24" s="163">
        <v>0.122</v>
      </c>
      <c r="C24" s="164">
        <v>-7.0199999999999999E-2</v>
      </c>
      <c r="D24" s="164">
        <v>-2.2799999999999999E-3</v>
      </c>
      <c r="E24" s="164">
        <v>-3.2100000000000002E-3</v>
      </c>
      <c r="F24" s="164">
        <v>6.9099999999999999E-5</v>
      </c>
      <c r="G24" s="164">
        <v>9.8200000000000002E-4</v>
      </c>
      <c r="H24" s="164">
        <v>-1.2999999999999999E-2</v>
      </c>
      <c r="I24" s="164">
        <v>7.8200000000000006E-3</v>
      </c>
      <c r="J24" s="164">
        <v>2.2699999999999999E-4</v>
      </c>
      <c r="K24" s="163">
        <v>-5.21E-2</v>
      </c>
      <c r="L24" s="164">
        <v>4.5999999999999999E-3</v>
      </c>
      <c r="M24" s="165">
        <v>1.0399999999999999E-3</v>
      </c>
      <c r="O24" s="166">
        <f t="shared" si="0"/>
        <v>3.1115964488512213E-3</v>
      </c>
      <c r="P24" s="166">
        <f t="shared" si="1"/>
        <v>-4.4964936542339299E-3</v>
      </c>
      <c r="Q24">
        <f t="shared" si="2"/>
        <v>4.8274385086085795E-4</v>
      </c>
      <c r="R24" s="167">
        <f t="shared" si="3"/>
        <v>-9.0215335452185062E-4</v>
      </c>
      <c r="S24" s="29">
        <f t="shared" si="4"/>
        <v>0.999</v>
      </c>
      <c r="U24" s="27">
        <f t="shared" si="5"/>
        <v>0</v>
      </c>
      <c r="V24" s="27">
        <f t="shared" si="6"/>
        <v>0</v>
      </c>
      <c r="W24" s="168">
        <f t="shared" si="7"/>
        <v>0</v>
      </c>
      <c r="Z24" s="195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</row>
    <row r="25" spans="1:38" ht="15.75" x14ac:dyDescent="0.5">
      <c r="A25" s="162">
        <v>0.05</v>
      </c>
      <c r="B25" s="163">
        <v>0.23899999999999999</v>
      </c>
      <c r="C25" s="164">
        <v>-0.106</v>
      </c>
      <c r="D25" s="164">
        <v>-2.63E-2</v>
      </c>
      <c r="E25" s="164">
        <v>-8.5700000000000001E-4</v>
      </c>
      <c r="F25" s="164">
        <v>-7.43E-3</v>
      </c>
      <c r="G25" s="164">
        <v>4.8700000000000002E-3</v>
      </c>
      <c r="H25" s="164">
        <v>-1.6899999999999998E-2</v>
      </c>
      <c r="I25" s="164">
        <v>8.0800000000000004E-3</v>
      </c>
      <c r="J25" s="164">
        <v>1.7099999999999999E-3</v>
      </c>
      <c r="K25" s="163">
        <v>-9.5699999999999993E-2</v>
      </c>
      <c r="L25" s="164">
        <v>1.31E-3</v>
      </c>
      <c r="M25" s="165">
        <v>4.7000000000000002E-3</v>
      </c>
      <c r="O25" s="166">
        <f t="shared" si="0"/>
        <v>2.7494392030519288E-4</v>
      </c>
      <c r="P25" s="166">
        <f t="shared" si="1"/>
        <v>-1.6233167126831391E-3</v>
      </c>
      <c r="Q25">
        <f t="shared" si="2"/>
        <v>1.4822672004223317E-3</v>
      </c>
      <c r="R25" s="167">
        <f t="shared" si="3"/>
        <v>1.3389440804438546E-4</v>
      </c>
      <c r="S25" s="29">
        <f t="shared" si="4"/>
        <v>1</v>
      </c>
      <c r="U25" s="27">
        <f t="shared" si="5"/>
        <v>0</v>
      </c>
      <c r="V25" s="27">
        <f t="shared" si="6"/>
        <v>0</v>
      </c>
      <c r="W25" s="168">
        <f t="shared" si="7"/>
        <v>0</v>
      </c>
      <c r="Y25" s="42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</row>
    <row r="26" spans="1:38" ht="15.75" x14ac:dyDescent="0.5">
      <c r="A26" s="162">
        <v>7.4999999999999997E-2</v>
      </c>
      <c r="B26" s="163">
        <v>0.30499999999999999</v>
      </c>
      <c r="C26" s="164">
        <v>-7.3200000000000001E-2</v>
      </c>
      <c r="D26" s="164">
        <v>-7.2900000000000006E-2</v>
      </c>
      <c r="E26" s="164">
        <v>2.02E-4</v>
      </c>
      <c r="F26" s="164">
        <v>-1.6400000000000001E-2</v>
      </c>
      <c r="G26" s="164">
        <v>1.03E-2</v>
      </c>
      <c r="H26" s="164">
        <v>-9.2599999999999996E-4</v>
      </c>
      <c r="I26" s="164">
        <v>-6.4000000000000003E-3</v>
      </c>
      <c r="J26" s="164">
        <v>4.4200000000000003E-3</v>
      </c>
      <c r="K26" s="163">
        <v>-0.121</v>
      </c>
      <c r="L26" s="164">
        <v>-5.79E-3</v>
      </c>
      <c r="M26" s="165">
        <v>4.5999999999999999E-3</v>
      </c>
      <c r="O26" s="166">
        <f t="shared" si="0"/>
        <v>-1.6430249113352779E-3</v>
      </c>
      <c r="P26" s="166">
        <f t="shared" si="1"/>
        <v>3.9463952820250866E-3</v>
      </c>
      <c r="Q26">
        <f t="shared" si="2"/>
        <v>6.1851318727029086E-4</v>
      </c>
      <c r="R26" s="167">
        <f t="shared" si="3"/>
        <v>2.9218835579600992E-3</v>
      </c>
      <c r="S26" s="29">
        <f t="shared" si="4"/>
        <v>1.0029999999999999</v>
      </c>
      <c r="U26" s="27">
        <f t="shared" si="5"/>
        <v>0</v>
      </c>
      <c r="V26" s="27">
        <f t="shared" si="6"/>
        <v>0</v>
      </c>
      <c r="W26" s="168">
        <f t="shared" si="7"/>
        <v>0</v>
      </c>
      <c r="Y26" s="42"/>
      <c r="Z26" s="29"/>
    </row>
    <row r="27" spans="1:38" ht="15.75" x14ac:dyDescent="0.5">
      <c r="A27" s="162">
        <v>0.1</v>
      </c>
      <c r="B27" s="163">
        <v>0.26900000000000002</v>
      </c>
      <c r="C27" s="164">
        <v>4.1799999999999997E-3</v>
      </c>
      <c r="D27" s="164">
        <v>-0.107</v>
      </c>
      <c r="E27" s="164">
        <v>5.7999999999999996E-3</v>
      </c>
      <c r="F27" s="164">
        <v>-2.4899999999999999E-2</v>
      </c>
      <c r="G27" s="164">
        <v>1.34E-2</v>
      </c>
      <c r="H27" s="164">
        <v>2.35E-2</v>
      </c>
      <c r="I27" s="164">
        <v>-2.3699999999999999E-2</v>
      </c>
      <c r="J27" s="164">
        <v>5.8399999999999997E-3</v>
      </c>
      <c r="K27" s="163">
        <v>-0.124</v>
      </c>
      <c r="L27" s="164">
        <v>-1.0800000000000001E-2</v>
      </c>
      <c r="M27" s="165">
        <v>3.8E-3</v>
      </c>
      <c r="O27" s="166">
        <f t="shared" si="0"/>
        <v>-1.4336216819105241E-3</v>
      </c>
      <c r="P27" s="166">
        <f t="shared" si="1"/>
        <v>3.5225868037809891E-3</v>
      </c>
      <c r="Q27">
        <f t="shared" si="2"/>
        <v>1.3432841447494537E-3</v>
      </c>
      <c r="R27" s="167">
        <f t="shared" si="3"/>
        <v>3.4322492666199189E-3</v>
      </c>
      <c r="S27" s="29">
        <f t="shared" si="4"/>
        <v>1.0029999999999999</v>
      </c>
      <c r="U27" s="27">
        <f t="shared" si="5"/>
        <v>0</v>
      </c>
      <c r="V27" s="27">
        <f t="shared" si="6"/>
        <v>0</v>
      </c>
      <c r="W27" s="168">
        <f t="shared" si="7"/>
        <v>0</v>
      </c>
      <c r="Y27" s="42"/>
      <c r="Z27" s="29"/>
    </row>
    <row r="28" spans="1:38" ht="15.75" x14ac:dyDescent="0.5">
      <c r="A28" s="162">
        <v>0.15</v>
      </c>
      <c r="B28" s="163">
        <v>0.14099999999999999</v>
      </c>
      <c r="C28" s="164">
        <v>0.1</v>
      </c>
      <c r="D28" s="164">
        <v>-0.11799999999999999</v>
      </c>
      <c r="E28" s="164">
        <v>3.0099999999999998E-2</v>
      </c>
      <c r="F28" s="164">
        <v>-4.0899999999999999E-2</v>
      </c>
      <c r="G28" s="164">
        <v>1.41E-2</v>
      </c>
      <c r="H28" s="164">
        <v>3.1600000000000003E-2</v>
      </c>
      <c r="I28" s="164">
        <v>-2.47E-2</v>
      </c>
      <c r="J28" s="164">
        <v>3.15E-3</v>
      </c>
      <c r="K28" s="163">
        <v>-0.115</v>
      </c>
      <c r="L28" s="164">
        <v>-1.14E-2</v>
      </c>
      <c r="M28" s="165">
        <v>3.9699999999999996E-3</v>
      </c>
      <c r="O28" s="166">
        <f t="shared" si="0"/>
        <v>-3.7104752462576163E-3</v>
      </c>
      <c r="P28" s="166">
        <f t="shared" si="1"/>
        <v>6.4563798861895644E-3</v>
      </c>
      <c r="Q28">
        <f t="shared" si="2"/>
        <v>1.7494019457491413E-5</v>
      </c>
      <c r="R28" s="167">
        <f t="shared" si="3"/>
        <v>2.7633986593894396E-3</v>
      </c>
      <c r="S28" s="29">
        <f t="shared" si="4"/>
        <v>1.0029999999999999</v>
      </c>
      <c r="U28" s="27">
        <f t="shared" si="5"/>
        <v>0</v>
      </c>
      <c r="V28" s="27">
        <f t="shared" si="6"/>
        <v>0</v>
      </c>
      <c r="W28" s="168">
        <f t="shared" si="7"/>
        <v>0</v>
      </c>
      <c r="Y28" s="42"/>
      <c r="Z28" s="29"/>
    </row>
    <row r="29" spans="1:38" ht="15.75" x14ac:dyDescent="0.5">
      <c r="A29" s="162">
        <v>0.2</v>
      </c>
      <c r="B29" s="163">
        <v>5.0099999999999999E-2</v>
      </c>
      <c r="C29" s="164">
        <v>0.14499999999999999</v>
      </c>
      <c r="D29" s="164">
        <v>-0.111</v>
      </c>
      <c r="E29" s="164">
        <v>4.6899999999999997E-2</v>
      </c>
      <c r="F29" s="164">
        <v>-4.7699999999999999E-2</v>
      </c>
      <c r="G29" s="164">
        <v>1.18E-2</v>
      </c>
      <c r="H29" s="164">
        <v>3.1E-2</v>
      </c>
      <c r="I29" s="164">
        <v>-2.29E-2</v>
      </c>
      <c r="J29" s="164">
        <v>2.4099999999999998E-3</v>
      </c>
      <c r="K29" s="163">
        <v>-0.108</v>
      </c>
      <c r="L29" s="164">
        <v>-8.8500000000000002E-3</v>
      </c>
      <c r="M29" s="165">
        <v>4.64E-3</v>
      </c>
      <c r="O29" s="166">
        <f t="shared" si="0"/>
        <v>-4.0537364288615318E-3</v>
      </c>
      <c r="P29" s="166">
        <f t="shared" si="1"/>
        <v>5.6314296294675027E-3</v>
      </c>
      <c r="Q29">
        <f t="shared" si="2"/>
        <v>1.0734544948501736E-3</v>
      </c>
      <c r="R29" s="167">
        <f t="shared" si="3"/>
        <v>2.6511476954561445E-3</v>
      </c>
      <c r="S29" s="29">
        <f t="shared" si="4"/>
        <v>1.0029999999999999</v>
      </c>
      <c r="U29" s="27">
        <f t="shared" si="5"/>
        <v>0</v>
      </c>
      <c r="V29" s="27">
        <f t="shared" si="6"/>
        <v>0</v>
      </c>
      <c r="W29" s="168">
        <f t="shared" si="7"/>
        <v>0</v>
      </c>
      <c r="Y29" s="42"/>
      <c r="Z29" s="29"/>
    </row>
    <row r="30" spans="1:38" ht="15.75" x14ac:dyDescent="0.5">
      <c r="A30" s="162">
        <v>0.25</v>
      </c>
      <c r="B30" s="163">
        <v>2.2800000000000001E-2</v>
      </c>
      <c r="C30" s="164">
        <v>0.14299999999999999</v>
      </c>
      <c r="D30" s="164">
        <v>-9.7299999999999998E-2</v>
      </c>
      <c r="E30" s="164">
        <v>5.1999999999999998E-2</v>
      </c>
      <c r="F30" s="164">
        <v>-4.7E-2</v>
      </c>
      <c r="G30" s="164">
        <v>9.4699999999999993E-3</v>
      </c>
      <c r="H30" s="164">
        <v>2.7099999999999999E-2</v>
      </c>
      <c r="I30" s="164">
        <v>-2.0199999999999999E-2</v>
      </c>
      <c r="J30" s="164">
        <v>1.31E-3</v>
      </c>
      <c r="K30" s="163">
        <v>-0.104</v>
      </c>
      <c r="L30" s="164">
        <v>-7.3499999999999998E-3</v>
      </c>
      <c r="M30" s="165">
        <v>4.6600000000000001E-3</v>
      </c>
      <c r="O30" s="166">
        <f t="shared" si="0"/>
        <v>9.1436614379947212E-4</v>
      </c>
      <c r="P30" s="166">
        <f t="shared" si="1"/>
        <v>7.1803919873798024E-3</v>
      </c>
      <c r="Q30">
        <f t="shared" si="2"/>
        <v>-5.60338629216781E-3</v>
      </c>
      <c r="R30" s="167">
        <f t="shared" si="3"/>
        <v>2.4913718390114645E-3</v>
      </c>
      <c r="S30" s="29">
        <f t="shared" si="4"/>
        <v>1.002</v>
      </c>
      <c r="U30" s="27">
        <f t="shared" si="5"/>
        <v>0</v>
      </c>
      <c r="V30" s="27">
        <f t="shared" si="6"/>
        <v>0</v>
      </c>
      <c r="W30" s="168">
        <f t="shared" si="7"/>
        <v>0</v>
      </c>
      <c r="Y30" s="42"/>
      <c r="Z30" s="29"/>
    </row>
    <row r="31" spans="1:38" ht="15.75" x14ac:dyDescent="0.5">
      <c r="A31" s="162">
        <v>0.3</v>
      </c>
      <c r="B31" s="163">
        <v>-1.5800000000000002E-2</v>
      </c>
      <c r="C31" s="164">
        <v>0.14799999999999999</v>
      </c>
      <c r="D31" s="164">
        <v>-8.8300000000000003E-2</v>
      </c>
      <c r="E31" s="164">
        <v>5.21E-2</v>
      </c>
      <c r="F31" s="164">
        <v>-4.36E-2</v>
      </c>
      <c r="G31" s="164">
        <v>7.3299999999999997E-3</v>
      </c>
      <c r="H31" s="164">
        <v>3.8699999999999998E-2</v>
      </c>
      <c r="I31" s="164">
        <v>-2.6599999999999999E-2</v>
      </c>
      <c r="J31" s="164">
        <v>1.7600000000000001E-3</v>
      </c>
      <c r="K31" s="163">
        <v>-0.10100000000000001</v>
      </c>
      <c r="L31" s="164">
        <v>-6.8999999999999999E-3</v>
      </c>
      <c r="M31" s="165">
        <v>5.3099999999999996E-3</v>
      </c>
      <c r="O31" s="166">
        <f t="shared" si="0"/>
        <v>-6.325830748207889E-3</v>
      </c>
      <c r="P31" s="166">
        <f t="shared" si="1"/>
        <v>7.4142184065616387E-3</v>
      </c>
      <c r="Q31">
        <f t="shared" si="2"/>
        <v>1.2439725901164608E-3</v>
      </c>
      <c r="R31" s="167">
        <f t="shared" si="3"/>
        <v>2.3323602484702105E-3</v>
      </c>
      <c r="S31" s="29">
        <f t="shared" si="4"/>
        <v>1.002</v>
      </c>
      <c r="U31" s="27">
        <f t="shared" si="5"/>
        <v>0</v>
      </c>
      <c r="V31" s="27">
        <f t="shared" si="6"/>
        <v>0</v>
      </c>
      <c r="W31" s="168">
        <f t="shared" si="7"/>
        <v>0</v>
      </c>
      <c r="Y31" s="42"/>
      <c r="Z31" s="29"/>
    </row>
    <row r="32" spans="1:38" ht="15.75" x14ac:dyDescent="0.5">
      <c r="A32" s="162">
        <v>0.4</v>
      </c>
      <c r="B32" s="163">
        <v>2.24E-2</v>
      </c>
      <c r="C32" s="164">
        <v>0.10299999999999999</v>
      </c>
      <c r="D32" s="164">
        <v>-7.4099999999999999E-2</v>
      </c>
      <c r="E32" s="164">
        <v>4.6300000000000001E-2</v>
      </c>
      <c r="F32" s="164">
        <v>-3.5799999999999998E-2</v>
      </c>
      <c r="G32" s="164">
        <v>4.6499999999999996E-3</v>
      </c>
      <c r="H32" s="164">
        <v>3.6299999999999999E-2</v>
      </c>
      <c r="I32" s="164">
        <v>-2.4500000000000001E-2</v>
      </c>
      <c r="J32" s="164">
        <v>1.1800000000000001E-3</v>
      </c>
      <c r="K32" s="163">
        <v>-0.10199999999999999</v>
      </c>
      <c r="L32" s="164">
        <v>-6.7099999999999998E-3</v>
      </c>
      <c r="M32" s="165">
        <v>6.2100000000000002E-3</v>
      </c>
      <c r="O32" s="166">
        <f t="shared" si="0"/>
        <v>-3.7684132132230486E-3</v>
      </c>
      <c r="P32" s="166">
        <f t="shared" si="1"/>
        <v>5.8884818416251473E-3</v>
      </c>
      <c r="Q32">
        <f t="shared" si="2"/>
        <v>-2.0744658784843214E-4</v>
      </c>
      <c r="R32" s="167">
        <f t="shared" si="3"/>
        <v>1.9126220405536667E-3</v>
      </c>
      <c r="S32" s="29">
        <f t="shared" si="4"/>
        <v>1.002</v>
      </c>
      <c r="U32" s="27">
        <f t="shared" si="5"/>
        <v>0</v>
      </c>
      <c r="V32" s="27">
        <f t="shared" si="6"/>
        <v>0</v>
      </c>
      <c r="W32" s="168">
        <f t="shared" si="7"/>
        <v>0</v>
      </c>
      <c r="Y32" s="42"/>
      <c r="Z32" s="29"/>
    </row>
    <row r="33" spans="1:26" ht="15.75" x14ac:dyDescent="0.5">
      <c r="A33" s="162">
        <v>0.5</v>
      </c>
      <c r="B33" s="163">
        <v>3.1899999999999998E-2</v>
      </c>
      <c r="C33" s="164">
        <v>7.0400000000000004E-2</v>
      </c>
      <c r="D33" s="164">
        <v>-5.57E-2</v>
      </c>
      <c r="E33" s="164">
        <v>4.2500000000000003E-2</v>
      </c>
      <c r="F33" s="164">
        <v>-2.9399999999999999E-2</v>
      </c>
      <c r="G33" s="164">
        <v>1.8799999999999999E-3</v>
      </c>
      <c r="H33" s="164">
        <v>3.8699999999999998E-2</v>
      </c>
      <c r="I33" s="164">
        <v>-2.47E-2</v>
      </c>
      <c r="J33" s="164">
        <v>3.1300000000000002E-4</v>
      </c>
      <c r="K33" s="163">
        <v>-0.10100000000000001</v>
      </c>
      <c r="L33" s="164">
        <v>-6.2199999999999998E-3</v>
      </c>
      <c r="M33" s="165">
        <v>7.1300000000000001E-3</v>
      </c>
      <c r="O33" s="166">
        <f t="shared" si="0"/>
        <v>9.2525409066160358E-4</v>
      </c>
      <c r="P33" s="166">
        <f t="shared" si="1"/>
        <v>4.2339765247442361E-4</v>
      </c>
      <c r="Q33">
        <f t="shared" si="2"/>
        <v>-6.7316100586525146E-4</v>
      </c>
      <c r="R33" s="167">
        <f t="shared" si="3"/>
        <v>6.7549073727077584E-4</v>
      </c>
      <c r="S33" s="29">
        <f t="shared" si="4"/>
        <v>1.0009999999999999</v>
      </c>
      <c r="U33" s="27">
        <f t="shared" si="5"/>
        <v>0</v>
      </c>
      <c r="V33" s="27">
        <f t="shared" si="6"/>
        <v>0</v>
      </c>
      <c r="W33" s="168">
        <f t="shared" si="7"/>
        <v>0</v>
      </c>
      <c r="Y33" s="42"/>
      <c r="Z33" s="29"/>
    </row>
    <row r="34" spans="1:26" ht="15.75" x14ac:dyDescent="0.5">
      <c r="A34" s="162">
        <v>0.75</v>
      </c>
      <c r="B34" s="163">
        <v>1.04E-2</v>
      </c>
      <c r="C34" s="164">
        <v>5.33E-2</v>
      </c>
      <c r="D34" s="164">
        <v>-3.7199999999999997E-2</v>
      </c>
      <c r="E34" s="164">
        <v>4.4699999999999997E-2</v>
      </c>
      <c r="F34" s="164">
        <v>-2.4E-2</v>
      </c>
      <c r="G34" s="164">
        <v>-2.3999999999999998E-3</v>
      </c>
      <c r="H34" s="164">
        <v>3.4700000000000002E-2</v>
      </c>
      <c r="I34" s="164">
        <v>-2.5899999999999999E-2</v>
      </c>
      <c r="J34" s="164">
        <v>2.8999999999999998E-3</v>
      </c>
      <c r="K34" s="163">
        <v>-0.10100000000000001</v>
      </c>
      <c r="L34" s="164">
        <v>-5.8599999999999998E-3</v>
      </c>
      <c r="M34" s="165">
        <v>6.8500000000000002E-3</v>
      </c>
      <c r="O34" s="166">
        <f t="shared" si="0"/>
        <v>-1.7576192332718898E-4</v>
      </c>
      <c r="P34" s="166">
        <f t="shared" si="1"/>
        <v>-1.1599754361648661E-3</v>
      </c>
      <c r="Q34">
        <f t="shared" si="2"/>
        <v>1.4648943061805603E-3</v>
      </c>
      <c r="R34" s="167">
        <f t="shared" si="3"/>
        <v>1.2915694668850521E-4</v>
      </c>
      <c r="S34" s="29">
        <f t="shared" si="4"/>
        <v>1</v>
      </c>
      <c r="U34" s="27">
        <f t="shared" si="5"/>
        <v>0</v>
      </c>
      <c r="V34" s="27">
        <f t="shared" si="6"/>
        <v>0</v>
      </c>
      <c r="W34" s="168">
        <f t="shared" si="7"/>
        <v>0</v>
      </c>
      <c r="Y34" s="42"/>
      <c r="Z34" s="29"/>
    </row>
    <row r="35" spans="1:26" ht="15.75" x14ac:dyDescent="0.5">
      <c r="A35" s="162">
        <v>1</v>
      </c>
      <c r="B35" s="163">
        <v>-8.8400000000000006E-2</v>
      </c>
      <c r="C35" s="164">
        <v>8.9200000000000002E-2</v>
      </c>
      <c r="D35" s="164">
        <v>-2.1399999999999999E-2</v>
      </c>
      <c r="E35" s="164">
        <v>4.9799999999999997E-2</v>
      </c>
      <c r="F35" s="164">
        <v>-2.3599999999999999E-2</v>
      </c>
      <c r="G35" s="164">
        <v>-4.7000000000000002E-3</v>
      </c>
      <c r="H35" s="164">
        <v>5.0200000000000002E-2</v>
      </c>
      <c r="I35" s="164">
        <v>-3.4299999999999997E-2</v>
      </c>
      <c r="J35" s="164">
        <v>2.32E-3</v>
      </c>
      <c r="K35" s="163">
        <v>-0.10199999999999999</v>
      </c>
      <c r="L35" s="164">
        <v>-7.3099999999999997E-3</v>
      </c>
      <c r="M35" s="165">
        <v>6.6600000000000001E-3</v>
      </c>
      <c r="O35" s="166">
        <f t="shared" si="0"/>
        <v>-2.7035264205527154E-4</v>
      </c>
      <c r="P35" s="166">
        <f t="shared" si="1"/>
        <v>-2.892506639730169E-3</v>
      </c>
      <c r="Q35">
        <f t="shared" si="2"/>
        <v>2.7935565420002689E-3</v>
      </c>
      <c r="R35" s="167">
        <f t="shared" si="3"/>
        <v>-3.6930273978517166E-4</v>
      </c>
      <c r="S35" s="29">
        <f t="shared" si="4"/>
        <v>1</v>
      </c>
      <c r="U35" s="27">
        <f t="shared" si="5"/>
        <v>0</v>
      </c>
      <c r="V35" s="27">
        <f t="shared" si="6"/>
        <v>0</v>
      </c>
      <c r="W35" s="168">
        <f t="shared" si="7"/>
        <v>0</v>
      </c>
      <c r="Y35" s="42"/>
      <c r="Z35" s="29"/>
    </row>
    <row r="36" spans="1:26" ht="15.75" x14ac:dyDescent="0.5">
      <c r="A36" s="162">
        <v>1.5</v>
      </c>
      <c r="B36" s="163">
        <v>-0.157</v>
      </c>
      <c r="C36" s="164">
        <v>9.3299999999999994E-2</v>
      </c>
      <c r="D36" s="164">
        <v>3.2799999999999999E-3</v>
      </c>
      <c r="E36" s="164">
        <v>5.8500000000000003E-2</v>
      </c>
      <c r="F36" s="164">
        <v>-2.3599999999999999E-2</v>
      </c>
      <c r="G36" s="164">
        <v>-8.0199999999999994E-3</v>
      </c>
      <c r="H36" s="164">
        <v>4.8099999999999997E-2</v>
      </c>
      <c r="I36" s="164">
        <v>-3.3000000000000002E-2</v>
      </c>
      <c r="J36" s="164">
        <v>2.0999999999999999E-3</v>
      </c>
      <c r="K36" s="163">
        <v>-0.10199999999999999</v>
      </c>
      <c r="L36" s="164">
        <v>-8.7500000000000008E-3</v>
      </c>
      <c r="M36" s="165">
        <v>6.6600000000000001E-3</v>
      </c>
      <c r="O36" s="166">
        <f t="shared" si="0"/>
        <v>1.6567097223567171E-3</v>
      </c>
      <c r="P36" s="166">
        <f t="shared" si="1"/>
        <v>-2.0805959146465657E-3</v>
      </c>
      <c r="Q36">
        <f t="shared" si="2"/>
        <v>1.1892434895493667E-3</v>
      </c>
      <c r="R36" s="167">
        <f t="shared" si="3"/>
        <v>7.6535729725951815E-4</v>
      </c>
      <c r="S36" s="29">
        <f t="shared" si="4"/>
        <v>1.0009999999999999</v>
      </c>
      <c r="U36" s="27">
        <f t="shared" si="5"/>
        <v>0</v>
      </c>
      <c r="V36" s="27">
        <f t="shared" si="6"/>
        <v>0</v>
      </c>
      <c r="W36" s="168">
        <f t="shared" si="7"/>
        <v>0</v>
      </c>
      <c r="Y36" s="42"/>
      <c r="Z36" s="29"/>
    </row>
    <row r="37" spans="1:26" ht="15.75" x14ac:dyDescent="0.5">
      <c r="A37" s="162">
        <v>2</v>
      </c>
      <c r="B37" s="163">
        <v>-0.29599999999999999</v>
      </c>
      <c r="C37" s="164">
        <v>0.15</v>
      </c>
      <c r="D37" s="164">
        <v>2.0899999999999998E-2</v>
      </c>
      <c r="E37" s="164">
        <v>7.2999999999999995E-2</v>
      </c>
      <c r="F37" s="164">
        <v>-2.9600000000000001E-2</v>
      </c>
      <c r="G37" s="164">
        <v>-9.9500000000000005E-3</v>
      </c>
      <c r="H37" s="164">
        <v>5.2400000000000002E-2</v>
      </c>
      <c r="I37" s="164">
        <v>-3.32E-2</v>
      </c>
      <c r="J37" s="164">
        <v>6.8599999999999998E-4</v>
      </c>
      <c r="K37" s="163">
        <v>-0.10299999999999999</v>
      </c>
      <c r="L37" s="164">
        <v>-9.2200000000000008E-3</v>
      </c>
      <c r="M37" s="165">
        <v>6.0400000000000002E-3</v>
      </c>
      <c r="O37" s="166">
        <f t="shared" si="0"/>
        <v>-4.4724390069805775E-4</v>
      </c>
      <c r="P37" s="166">
        <f t="shared" si="1"/>
        <v>-3.3432881880369209E-3</v>
      </c>
      <c r="Q37">
        <f t="shared" si="2"/>
        <v>2.0654071470050353E-3</v>
      </c>
      <c r="R37" s="167">
        <f t="shared" si="3"/>
        <v>-1.7251249417299433E-3</v>
      </c>
      <c r="S37" s="29">
        <f t="shared" si="4"/>
        <v>0.998</v>
      </c>
      <c r="U37" s="27">
        <f t="shared" si="5"/>
        <v>0</v>
      </c>
      <c r="V37" s="27">
        <f t="shared" si="6"/>
        <v>0</v>
      </c>
      <c r="W37" s="168">
        <f t="shared" si="7"/>
        <v>0</v>
      </c>
      <c r="Y37" s="42"/>
    </row>
    <row r="38" spans="1:26" ht="15.75" x14ac:dyDescent="0.5">
      <c r="A38" s="162">
        <v>3</v>
      </c>
      <c r="B38" s="163">
        <v>-0.40699999999999997</v>
      </c>
      <c r="C38" s="164">
        <v>0.19700000000000001</v>
      </c>
      <c r="D38" s="164">
        <v>3.2800000000000003E-2</v>
      </c>
      <c r="E38" s="164">
        <v>8.3500000000000005E-2</v>
      </c>
      <c r="F38" s="164">
        <v>-3.5400000000000001E-2</v>
      </c>
      <c r="G38" s="164">
        <v>-1.01E-2</v>
      </c>
      <c r="H38" s="164">
        <v>5.57E-2</v>
      </c>
      <c r="I38" s="164">
        <v>-2.9100000000000001E-2</v>
      </c>
      <c r="J38" s="164">
        <v>-3.1700000000000001E-3</v>
      </c>
      <c r="K38" s="163">
        <v>-9.6299999999999997E-2</v>
      </c>
      <c r="L38" s="164">
        <v>-1.0699999999999999E-2</v>
      </c>
      <c r="M38" s="165">
        <v>6.0299999999999998E-3</v>
      </c>
      <c r="O38" s="166">
        <f t="shared" si="0"/>
        <v>-4.9792063279304882E-3</v>
      </c>
      <c r="P38" s="166">
        <f t="shared" si="1"/>
        <v>2.9481158571231267E-3</v>
      </c>
      <c r="Q38">
        <f t="shared" si="2"/>
        <v>1.8169131802979065E-3</v>
      </c>
      <c r="R38" s="167">
        <f t="shared" si="3"/>
        <v>-2.1417729050945511E-4</v>
      </c>
      <c r="S38" s="29">
        <f t="shared" si="4"/>
        <v>1</v>
      </c>
      <c r="U38" s="27">
        <f t="shared" si="5"/>
        <v>0</v>
      </c>
      <c r="V38" s="27">
        <f t="shared" si="6"/>
        <v>0</v>
      </c>
      <c r="W38" s="168">
        <f t="shared" si="7"/>
        <v>0</v>
      </c>
      <c r="Y38" s="42"/>
    </row>
    <row r="39" spans="1:26" ht="15.75" x14ac:dyDescent="0.5">
      <c r="A39" s="162">
        <v>4</v>
      </c>
      <c r="B39" s="163">
        <v>-0.44900000000000001</v>
      </c>
      <c r="C39" s="164">
        <v>0.20699999999999999</v>
      </c>
      <c r="D39" s="164">
        <v>4.4200000000000003E-2</v>
      </c>
      <c r="E39" s="164">
        <v>8.7499999999999994E-2</v>
      </c>
      <c r="F39" s="164">
        <v>-3.5900000000000001E-2</v>
      </c>
      <c r="G39" s="164">
        <v>-1.14E-2</v>
      </c>
      <c r="H39" s="164">
        <v>5.0700000000000002E-2</v>
      </c>
      <c r="I39" s="164">
        <v>-2.4299999999999999E-2</v>
      </c>
      <c r="J39" s="164">
        <v>-4.6699999999999997E-3</v>
      </c>
      <c r="K39" s="163">
        <v>-9.8299999999999998E-2</v>
      </c>
      <c r="L39" s="164">
        <v>-1.37E-2</v>
      </c>
      <c r="M39" s="165">
        <v>3.3700000000000002E-3</v>
      </c>
      <c r="O39" s="166">
        <f t="shared" si="0"/>
        <v>-1.3555167122148715E-3</v>
      </c>
      <c r="P39" s="166">
        <f t="shared" si="1"/>
        <v>1.5541344631530224E-3</v>
      </c>
      <c r="Q39">
        <f t="shared" si="2"/>
        <v>-1.4054464011914482E-3</v>
      </c>
      <c r="R39" s="167">
        <f t="shared" si="3"/>
        <v>-1.2068286502532972E-3</v>
      </c>
      <c r="S39" s="29">
        <f t="shared" si="4"/>
        <v>0.999</v>
      </c>
      <c r="U39" s="27">
        <f t="shared" si="5"/>
        <v>0</v>
      </c>
      <c r="V39" s="27">
        <f t="shared" si="6"/>
        <v>0</v>
      </c>
      <c r="W39" s="168">
        <f t="shared" si="7"/>
        <v>0</v>
      </c>
      <c r="Y39" s="42"/>
    </row>
    <row r="40" spans="1:26" ht="15.75" x14ac:dyDescent="0.5">
      <c r="A40" s="162">
        <v>5</v>
      </c>
      <c r="B40" s="163">
        <v>-0.498</v>
      </c>
      <c r="C40" s="164">
        <v>0.217</v>
      </c>
      <c r="D40" s="164">
        <v>5.3600000000000002E-2</v>
      </c>
      <c r="E40" s="164">
        <v>9.0300000000000005E-2</v>
      </c>
      <c r="F40" s="164">
        <v>-3.4799999999999998E-2</v>
      </c>
      <c r="G40" s="164">
        <v>-1.29E-2</v>
      </c>
      <c r="H40" s="164">
        <v>5.1900000000000002E-2</v>
      </c>
      <c r="I40" s="164">
        <v>-2.3E-2</v>
      </c>
      <c r="J40" s="164">
        <v>-5.6800000000000002E-3</v>
      </c>
      <c r="K40" s="163">
        <v>-9.4200000000000006E-2</v>
      </c>
      <c r="L40" s="164">
        <v>-1.5299999999999999E-2</v>
      </c>
      <c r="M40" s="165">
        <v>2.99E-3</v>
      </c>
      <c r="O40" s="166">
        <f t="shared" si="0"/>
        <v>-9.9124078844596841E-3</v>
      </c>
      <c r="P40" s="166">
        <f t="shared" si="1"/>
        <v>7.1021979760811735E-3</v>
      </c>
      <c r="Q40">
        <f t="shared" si="2"/>
        <v>4.7240621624777064E-4</v>
      </c>
      <c r="R40" s="167">
        <f t="shared" si="3"/>
        <v>-2.3378036921307402E-3</v>
      </c>
      <c r="S40" s="29">
        <f t="shared" si="4"/>
        <v>0.998</v>
      </c>
      <c r="U40" s="27">
        <f t="shared" si="5"/>
        <v>0</v>
      </c>
      <c r="V40" s="27">
        <f t="shared" si="6"/>
        <v>0</v>
      </c>
      <c r="W40" s="168">
        <f t="shared" si="7"/>
        <v>0</v>
      </c>
      <c r="Y40" s="42"/>
    </row>
    <row r="41" spans="1:26" ht="15.75" x14ac:dyDescent="0.5">
      <c r="A41" s="162">
        <v>7.5</v>
      </c>
      <c r="B41" s="163">
        <v>-0.52500000000000002</v>
      </c>
      <c r="C41" s="164">
        <v>0.20599999999999999</v>
      </c>
      <c r="D41" s="164">
        <v>7.7899999999999997E-2</v>
      </c>
      <c r="E41" s="164">
        <v>9.8799999999999999E-2</v>
      </c>
      <c r="F41" s="164">
        <v>-3.7600000000000001E-2</v>
      </c>
      <c r="G41" s="164">
        <v>-1.5100000000000001E-2</v>
      </c>
      <c r="H41" s="164">
        <v>2.9100000000000001E-2</v>
      </c>
      <c r="I41" s="164">
        <v>-4.9300000000000004E-3</v>
      </c>
      <c r="J41" s="164">
        <v>-9.0200000000000002E-3</v>
      </c>
      <c r="K41" s="163">
        <v>-8.9499999999999996E-2</v>
      </c>
      <c r="L41" s="164">
        <v>-1.6299999999999999E-2</v>
      </c>
      <c r="M41" s="165">
        <v>2.5899999999999999E-3</v>
      </c>
      <c r="O41" s="166">
        <f t="shared" si="0"/>
        <v>8.3278316524848794E-3</v>
      </c>
      <c r="P41" s="166">
        <f t="shared" si="1"/>
        <v>-6.7088286986520806E-3</v>
      </c>
      <c r="Q41">
        <f t="shared" si="2"/>
        <v>-6.1077464977524094E-3</v>
      </c>
      <c r="R41" s="167">
        <f t="shared" si="3"/>
        <v>-4.4887435439196106E-3</v>
      </c>
      <c r="S41" s="29">
        <f t="shared" si="4"/>
        <v>0.996</v>
      </c>
      <c r="U41" s="27">
        <f t="shared" si="5"/>
        <v>0</v>
      </c>
      <c r="V41" s="27">
        <f t="shared" si="6"/>
        <v>0</v>
      </c>
      <c r="W41" s="168">
        <f t="shared" si="7"/>
        <v>0</v>
      </c>
      <c r="Y41" s="42"/>
    </row>
    <row r="42" spans="1:26" ht="15.75" x14ac:dyDescent="0.5">
      <c r="A42" s="162">
        <v>10</v>
      </c>
      <c r="B42" s="163">
        <v>-0.38900000000000001</v>
      </c>
      <c r="C42" s="164">
        <v>0.14299999999999999</v>
      </c>
      <c r="D42" s="164">
        <v>6.1199999999999997E-2</v>
      </c>
      <c r="E42" s="164">
        <v>7.1400000000000005E-2</v>
      </c>
      <c r="F42" s="164">
        <v>-2.3599999999999999E-2</v>
      </c>
      <c r="G42" s="164">
        <v>-1.2999999999999999E-2</v>
      </c>
      <c r="H42" s="164">
        <v>2.3300000000000001E-2</v>
      </c>
      <c r="I42" s="164">
        <v>-5.4599999999999996E-3</v>
      </c>
      <c r="J42" s="164">
        <v>-5.9199999999999999E-3</v>
      </c>
      <c r="K42" s="163">
        <v>-6.8900000000000003E-2</v>
      </c>
      <c r="L42" s="164">
        <v>-1.43E-2</v>
      </c>
      <c r="M42" s="165">
        <v>1.9400000000000001E-3</v>
      </c>
      <c r="O42" s="166">
        <f t="shared" si="0"/>
        <v>-3.2460641033332793E-4</v>
      </c>
      <c r="P42" s="166">
        <f t="shared" si="1"/>
        <v>-2.0777298270212726E-3</v>
      </c>
      <c r="Q42">
        <f t="shared" si="2"/>
        <v>-2.2833069405147912E-3</v>
      </c>
      <c r="R42" s="167">
        <f t="shared" si="3"/>
        <v>-4.6856431778693917E-3</v>
      </c>
      <c r="S42" s="29">
        <f t="shared" si="4"/>
        <v>0.995</v>
      </c>
      <c r="U42" s="27">
        <f t="shared" si="5"/>
        <v>0</v>
      </c>
      <c r="V42" s="27">
        <f t="shared" si="6"/>
        <v>0</v>
      </c>
      <c r="W42" s="168">
        <f t="shared" si="7"/>
        <v>0</v>
      </c>
      <c r="Y42" s="42"/>
    </row>
  </sheetData>
  <sheetProtection password="EDF4" sheet="1" objects="1" scenarios="1"/>
  <mergeCells count="1">
    <mergeCell ref="A1:A3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22"/>
  <sheetViews>
    <sheetView workbookViewId="0">
      <selection activeCell="P24" sqref="P24"/>
    </sheetView>
  </sheetViews>
  <sheetFormatPr defaultColWidth="8.86328125" defaultRowHeight="14.25" x14ac:dyDescent="0.45"/>
  <sheetData>
    <row r="1" spans="1:14" x14ac:dyDescent="0.45">
      <c r="A1" s="29" t="s">
        <v>312</v>
      </c>
      <c r="B1" s="29">
        <v>0.5</v>
      </c>
      <c r="C1" s="29">
        <v>1</v>
      </c>
      <c r="D1" s="29">
        <v>2</v>
      </c>
      <c r="E1" s="29">
        <v>3</v>
      </c>
      <c r="F1" s="29">
        <v>5</v>
      </c>
      <c r="G1" s="29">
        <v>7</v>
      </c>
      <c r="H1" s="29">
        <v>10</v>
      </c>
      <c r="I1" s="29">
        <v>15</v>
      </c>
      <c r="J1" s="29">
        <v>20</v>
      </c>
      <c r="K1" s="29">
        <v>25</v>
      </c>
      <c r="L1" s="29">
        <v>30</v>
      </c>
    </row>
    <row r="2" spans="1:14" x14ac:dyDescent="0.45">
      <c r="A2" s="29">
        <v>0.01</v>
      </c>
      <c r="B2" s="29">
        <v>0.01</v>
      </c>
      <c r="C2" s="29">
        <v>0</v>
      </c>
      <c r="D2" s="29">
        <v>0</v>
      </c>
      <c r="E2" s="29">
        <v>0</v>
      </c>
      <c r="F2" s="29" t="s">
        <v>433</v>
      </c>
      <c r="G2" s="29">
        <v>0.02</v>
      </c>
      <c r="H2" s="29">
        <v>0.02</v>
      </c>
      <c r="I2" s="29">
        <v>0.01</v>
      </c>
      <c r="J2" s="29" t="s">
        <v>434</v>
      </c>
      <c r="K2" s="29" t="s">
        <v>435</v>
      </c>
      <c r="L2" s="29" t="s">
        <v>436</v>
      </c>
      <c r="N2" t="e">
        <f>SQRT(x^2+DSF!$W22^2+2*x*DSF!$W22*Sheet1!B2)</f>
        <v>#NAME?</v>
      </c>
    </row>
    <row r="3" spans="1:14" x14ac:dyDescent="0.45">
      <c r="A3" s="29">
        <v>0.02</v>
      </c>
      <c r="B3" s="29">
        <v>0.01</v>
      </c>
      <c r="C3" s="29">
        <v>0.03</v>
      </c>
      <c r="D3" s="29">
        <v>0.04</v>
      </c>
      <c r="E3" s="29">
        <v>0.06</v>
      </c>
      <c r="F3" s="29" t="s">
        <v>433</v>
      </c>
      <c r="G3" s="29" t="s">
        <v>437</v>
      </c>
      <c r="H3" s="29" t="s">
        <v>437</v>
      </c>
      <c r="I3" s="29" t="s">
        <v>438</v>
      </c>
      <c r="J3" s="29" t="s">
        <v>439</v>
      </c>
      <c r="K3" s="29" t="s">
        <v>440</v>
      </c>
      <c r="L3" s="29" t="s">
        <v>440</v>
      </c>
    </row>
    <row r="4" spans="1:14" x14ac:dyDescent="0.45">
      <c r="A4" s="29">
        <v>0.03</v>
      </c>
      <c r="B4" s="29">
        <v>0.12</v>
      </c>
      <c r="C4" s="29">
        <v>0.12</v>
      </c>
      <c r="D4" s="29">
        <v>0.12</v>
      </c>
      <c r="E4" s="29">
        <v>0.13</v>
      </c>
      <c r="F4" s="29" t="s">
        <v>433</v>
      </c>
      <c r="G4" s="29" t="s">
        <v>441</v>
      </c>
      <c r="H4" s="29" t="s">
        <v>442</v>
      </c>
      <c r="I4" s="29" t="s">
        <v>443</v>
      </c>
      <c r="J4" s="29" t="s">
        <v>443</v>
      </c>
      <c r="K4" s="29" t="s">
        <v>443</v>
      </c>
      <c r="L4" s="29" t="s">
        <v>443</v>
      </c>
    </row>
    <row r="5" spans="1:14" x14ac:dyDescent="0.45">
      <c r="A5" s="29">
        <v>0.05</v>
      </c>
      <c r="B5" s="29">
        <v>0.15</v>
      </c>
      <c r="C5" s="29">
        <v>0.17</v>
      </c>
      <c r="D5" s="29">
        <v>0.17</v>
      </c>
      <c r="E5" s="29">
        <v>0.18</v>
      </c>
      <c r="F5" s="29" t="s">
        <v>433</v>
      </c>
      <c r="G5" s="29" t="s">
        <v>444</v>
      </c>
      <c r="H5" s="29" t="s">
        <v>444</v>
      </c>
      <c r="I5" s="29" t="s">
        <v>445</v>
      </c>
      <c r="J5" s="29" t="s">
        <v>445</v>
      </c>
      <c r="K5" s="29" t="s">
        <v>445</v>
      </c>
      <c r="L5" s="29" t="s">
        <v>445</v>
      </c>
    </row>
    <row r="6" spans="1:14" x14ac:dyDescent="0.45">
      <c r="A6" s="29">
        <v>7.4999999999999997E-2</v>
      </c>
      <c r="B6" s="29">
        <v>0.1</v>
      </c>
      <c r="C6" s="29">
        <v>0.12</v>
      </c>
      <c r="D6" s="29">
        <v>0.15</v>
      </c>
      <c r="E6" s="29">
        <v>0.15</v>
      </c>
      <c r="F6" s="29" t="s">
        <v>433</v>
      </c>
      <c r="G6" s="29" t="s">
        <v>446</v>
      </c>
      <c r="H6" s="29" t="s">
        <v>447</v>
      </c>
      <c r="I6" s="29" t="s">
        <v>448</v>
      </c>
      <c r="J6" s="29" t="s">
        <v>449</v>
      </c>
      <c r="K6" s="29" t="s">
        <v>449</v>
      </c>
      <c r="L6" s="29" t="s">
        <v>449</v>
      </c>
    </row>
    <row r="7" spans="1:14" x14ac:dyDescent="0.45">
      <c r="A7" s="29">
        <v>0.1</v>
      </c>
      <c r="B7" s="29">
        <v>0.06</v>
      </c>
      <c r="C7" s="29">
        <v>0.09</v>
      </c>
      <c r="D7" s="29">
        <v>0.1</v>
      </c>
      <c r="E7" s="29">
        <v>0.11</v>
      </c>
      <c r="F7" s="29" t="s">
        <v>433</v>
      </c>
      <c r="G7" s="29" t="s">
        <v>441</v>
      </c>
      <c r="H7" s="29" t="s">
        <v>446</v>
      </c>
      <c r="I7" s="29" t="s">
        <v>447</v>
      </c>
      <c r="J7" s="29" t="s">
        <v>447</v>
      </c>
      <c r="K7" s="29" t="s">
        <v>447</v>
      </c>
      <c r="L7" s="29" t="s">
        <v>447</v>
      </c>
    </row>
    <row r="8" spans="1:14" x14ac:dyDescent="0.45">
      <c r="A8" s="29">
        <v>0.15</v>
      </c>
      <c r="B8" s="29">
        <v>0</v>
      </c>
      <c r="C8" s="29">
        <v>0.01</v>
      </c>
      <c r="D8" s="29">
        <v>0.03</v>
      </c>
      <c r="E8" s="29">
        <v>0.04</v>
      </c>
      <c r="F8" s="29" t="s">
        <v>433</v>
      </c>
      <c r="G8" s="29" t="s">
        <v>450</v>
      </c>
      <c r="H8" s="29" t="s">
        <v>451</v>
      </c>
      <c r="I8" s="29" t="s">
        <v>441</v>
      </c>
      <c r="J8" s="29" t="s">
        <v>441</v>
      </c>
      <c r="K8" s="29" t="s">
        <v>442</v>
      </c>
      <c r="L8" s="29" t="s">
        <v>442</v>
      </c>
    </row>
    <row r="9" spans="1:14" x14ac:dyDescent="0.45">
      <c r="A9" s="29">
        <v>0.2</v>
      </c>
      <c r="B9" s="29">
        <v>0.03</v>
      </c>
      <c r="C9" s="29">
        <v>0.05</v>
      </c>
      <c r="D9" s="29">
        <v>7.0000000000000007E-2</v>
      </c>
      <c r="E9" s="29">
        <v>0.06</v>
      </c>
      <c r="F9" s="29" t="s">
        <v>433</v>
      </c>
      <c r="G9" s="29" t="s">
        <v>450</v>
      </c>
      <c r="H9" s="29" t="s">
        <v>451</v>
      </c>
      <c r="I9" s="29" t="s">
        <v>441</v>
      </c>
      <c r="J9" s="29" t="s">
        <v>441</v>
      </c>
      <c r="K9" s="29" t="s">
        <v>441</v>
      </c>
      <c r="L9" s="29" t="s">
        <v>441</v>
      </c>
    </row>
    <row r="10" spans="1:14" x14ac:dyDescent="0.45">
      <c r="A10" s="29">
        <v>0.25</v>
      </c>
      <c r="B10" s="29">
        <v>0.04</v>
      </c>
      <c r="C10" s="29">
        <v>0.06</v>
      </c>
      <c r="D10" s="29">
        <v>0.08</v>
      </c>
      <c r="E10" s="29">
        <v>0.08</v>
      </c>
      <c r="F10" s="29" t="s">
        <v>433</v>
      </c>
      <c r="G10" s="29" t="s">
        <v>440</v>
      </c>
      <c r="H10" s="29" t="s">
        <v>450</v>
      </c>
      <c r="I10" s="29" t="s">
        <v>452</v>
      </c>
      <c r="J10" s="29" t="s">
        <v>451</v>
      </c>
      <c r="K10" s="29" t="s">
        <v>451</v>
      </c>
      <c r="L10" s="29" t="s">
        <v>451</v>
      </c>
    </row>
    <row r="11" spans="1:14" x14ac:dyDescent="0.45">
      <c r="A11" s="29">
        <v>0.3</v>
      </c>
      <c r="B11" s="29">
        <v>0.02</v>
      </c>
      <c r="C11" s="29">
        <v>0.03</v>
      </c>
      <c r="D11" s="29">
        <v>0.05</v>
      </c>
      <c r="E11" s="29">
        <v>0.06</v>
      </c>
      <c r="F11" s="29" t="s">
        <v>433</v>
      </c>
      <c r="G11" s="29" t="s">
        <v>440</v>
      </c>
      <c r="H11" s="29" t="s">
        <v>452</v>
      </c>
      <c r="I11" s="29" t="s">
        <v>453</v>
      </c>
      <c r="J11" s="29" t="s">
        <v>453</v>
      </c>
      <c r="K11" s="29" t="s">
        <v>453</v>
      </c>
      <c r="L11" s="29" t="s">
        <v>453</v>
      </c>
    </row>
    <row r="12" spans="1:14" x14ac:dyDescent="0.45">
      <c r="A12" s="29">
        <v>0.4</v>
      </c>
      <c r="B12" s="29">
        <v>0</v>
      </c>
      <c r="C12" s="29">
        <v>0.02</v>
      </c>
      <c r="D12" s="29">
        <v>0.04</v>
      </c>
      <c r="E12" s="29">
        <v>0.05</v>
      </c>
      <c r="F12" s="29" t="s">
        <v>433</v>
      </c>
      <c r="G12" s="29" t="s">
        <v>450</v>
      </c>
      <c r="H12" s="29" t="s">
        <v>452</v>
      </c>
      <c r="I12" s="29" t="s">
        <v>451</v>
      </c>
      <c r="J12" s="29" t="s">
        <v>453</v>
      </c>
      <c r="K12" s="29" t="s">
        <v>453</v>
      </c>
      <c r="L12" s="29" t="s">
        <v>453</v>
      </c>
    </row>
    <row r="13" spans="1:14" x14ac:dyDescent="0.45">
      <c r="A13" s="29">
        <v>0.5</v>
      </c>
      <c r="B13" s="29" t="s">
        <v>434</v>
      </c>
      <c r="C13" s="29">
        <v>0.01</v>
      </c>
      <c r="D13" s="29">
        <v>0.03</v>
      </c>
      <c r="E13" s="29">
        <v>0.05</v>
      </c>
      <c r="F13" s="29" t="s">
        <v>433</v>
      </c>
      <c r="G13" s="29" t="s">
        <v>452</v>
      </c>
      <c r="H13" s="29" t="s">
        <v>453</v>
      </c>
      <c r="I13" s="29" t="s">
        <v>442</v>
      </c>
      <c r="J13" s="29" t="s">
        <v>446</v>
      </c>
      <c r="K13" s="29" t="s">
        <v>443</v>
      </c>
      <c r="L13" s="29" t="s">
        <v>443</v>
      </c>
    </row>
    <row r="14" spans="1:14" x14ac:dyDescent="0.45">
      <c r="A14" s="29">
        <v>0.75</v>
      </c>
      <c r="B14" s="29">
        <v>0.08</v>
      </c>
      <c r="C14" s="29">
        <v>0.09</v>
      </c>
      <c r="D14" s="29">
        <v>0.11</v>
      </c>
      <c r="E14" s="29">
        <v>0.13</v>
      </c>
      <c r="F14" s="29" t="s">
        <v>433</v>
      </c>
      <c r="G14" s="29" t="s">
        <v>448</v>
      </c>
      <c r="H14" s="29" t="s">
        <v>454</v>
      </c>
      <c r="I14" s="29" t="s">
        <v>455</v>
      </c>
      <c r="J14" s="29" t="s">
        <v>456</v>
      </c>
      <c r="K14" s="29" t="s">
        <v>457</v>
      </c>
      <c r="L14" s="29" t="s">
        <v>458</v>
      </c>
    </row>
    <row r="15" spans="1:14" x14ac:dyDescent="0.45">
      <c r="A15" s="29">
        <v>1</v>
      </c>
      <c r="B15" s="29">
        <v>7.0000000000000007E-2</v>
      </c>
      <c r="C15" s="29">
        <v>0.08</v>
      </c>
      <c r="D15" s="29">
        <v>0.1</v>
      </c>
      <c r="E15" s="29">
        <v>0.11</v>
      </c>
      <c r="F15" s="29" t="s">
        <v>433</v>
      </c>
      <c r="G15" s="29" t="s">
        <v>448</v>
      </c>
      <c r="H15" s="29" t="s">
        <v>459</v>
      </c>
      <c r="I15" s="29" t="s">
        <v>460</v>
      </c>
      <c r="J15" s="29" t="s">
        <v>457</v>
      </c>
      <c r="K15" s="29" t="s">
        <v>461</v>
      </c>
      <c r="L15" s="29" t="s">
        <v>462</v>
      </c>
    </row>
    <row r="16" spans="1:14" x14ac:dyDescent="0.45">
      <c r="A16" s="29">
        <v>1.5</v>
      </c>
      <c r="B16" s="29">
        <v>0.17</v>
      </c>
      <c r="C16" s="29">
        <v>0.19</v>
      </c>
      <c r="D16" s="29">
        <v>0.22</v>
      </c>
      <c r="E16" s="29">
        <v>0.22</v>
      </c>
      <c r="F16" s="29" t="s">
        <v>433</v>
      </c>
      <c r="G16" s="29" t="s">
        <v>463</v>
      </c>
      <c r="H16" s="29" t="s">
        <v>457</v>
      </c>
      <c r="I16" s="29" t="s">
        <v>462</v>
      </c>
      <c r="J16" s="29" t="s">
        <v>464</v>
      </c>
      <c r="K16" s="29" t="s">
        <v>465</v>
      </c>
      <c r="L16" s="29" t="s">
        <v>466</v>
      </c>
    </row>
    <row r="17" spans="1:12" x14ac:dyDescent="0.45">
      <c r="A17" s="29">
        <v>2</v>
      </c>
      <c r="B17" s="29">
        <v>0.25</v>
      </c>
      <c r="C17" s="29">
        <v>0.25</v>
      </c>
      <c r="D17" s="29">
        <v>0.25</v>
      </c>
      <c r="E17" s="29">
        <v>0.26</v>
      </c>
      <c r="F17" s="29" t="s">
        <v>433</v>
      </c>
      <c r="G17" s="29" t="s">
        <v>467</v>
      </c>
      <c r="H17" s="29" t="s">
        <v>462</v>
      </c>
      <c r="I17" s="29" t="s">
        <v>468</v>
      </c>
      <c r="J17" s="29" t="s">
        <v>469</v>
      </c>
      <c r="K17" s="29" t="s">
        <v>470</v>
      </c>
      <c r="L17" s="29" t="s">
        <v>471</v>
      </c>
    </row>
    <row r="18" spans="1:12" x14ac:dyDescent="0.45">
      <c r="A18" s="29">
        <v>3</v>
      </c>
      <c r="B18" s="29">
        <v>0.32</v>
      </c>
      <c r="C18" s="29">
        <v>0.32</v>
      </c>
      <c r="D18" s="29">
        <v>0.31</v>
      </c>
      <c r="E18" s="29">
        <v>0.32</v>
      </c>
      <c r="F18" s="29" t="s">
        <v>433</v>
      </c>
      <c r="G18" s="29" t="s">
        <v>461</v>
      </c>
      <c r="H18" s="29" t="s">
        <v>472</v>
      </c>
      <c r="I18" s="29" t="s">
        <v>465</v>
      </c>
      <c r="J18" s="29" t="s">
        <v>469</v>
      </c>
      <c r="K18" s="29" t="s">
        <v>473</v>
      </c>
      <c r="L18" s="29" t="s">
        <v>474</v>
      </c>
    </row>
    <row r="19" spans="1:12" x14ac:dyDescent="0.45">
      <c r="A19" s="29">
        <v>4</v>
      </c>
      <c r="B19" s="29">
        <v>0.33</v>
      </c>
      <c r="C19" s="29">
        <v>0.33</v>
      </c>
      <c r="D19" s="29">
        <v>0.34</v>
      </c>
      <c r="E19" s="29">
        <v>0.34</v>
      </c>
      <c r="F19" s="29" t="s">
        <v>433</v>
      </c>
      <c r="G19" s="29" t="s">
        <v>475</v>
      </c>
      <c r="H19" s="29" t="s">
        <v>476</v>
      </c>
      <c r="I19" s="29" t="s">
        <v>477</v>
      </c>
      <c r="J19" s="29" t="s">
        <v>465</v>
      </c>
      <c r="K19" s="29" t="s">
        <v>466</v>
      </c>
      <c r="L19" s="29" t="s">
        <v>469</v>
      </c>
    </row>
    <row r="20" spans="1:12" x14ac:dyDescent="0.45">
      <c r="A20" s="29">
        <v>5</v>
      </c>
      <c r="B20" s="29">
        <v>0.38</v>
      </c>
      <c r="C20" s="29">
        <v>0.38</v>
      </c>
      <c r="D20" s="29">
        <v>0.39</v>
      </c>
      <c r="E20" s="29">
        <v>0.38</v>
      </c>
      <c r="F20" s="29" t="s">
        <v>433</v>
      </c>
      <c r="G20" s="29" t="s">
        <v>464</v>
      </c>
      <c r="H20" s="29" t="s">
        <v>468</v>
      </c>
      <c r="I20" s="29" t="s">
        <v>478</v>
      </c>
      <c r="J20" s="29" t="s">
        <v>479</v>
      </c>
      <c r="K20" s="29" t="s">
        <v>470</v>
      </c>
      <c r="L20" s="29" t="s">
        <v>471</v>
      </c>
    </row>
    <row r="21" spans="1:12" x14ac:dyDescent="0.45">
      <c r="A21" s="29">
        <v>7.5</v>
      </c>
      <c r="B21" s="29">
        <v>0.49</v>
      </c>
      <c r="C21" s="29">
        <v>0.49</v>
      </c>
      <c r="D21" s="29">
        <v>0.49</v>
      </c>
      <c r="E21" s="29">
        <v>0.49</v>
      </c>
      <c r="F21" s="29" t="s">
        <v>433</v>
      </c>
      <c r="G21" s="29" t="s">
        <v>471</v>
      </c>
      <c r="H21" s="29" t="s">
        <v>480</v>
      </c>
      <c r="I21" s="29" t="s">
        <v>481</v>
      </c>
      <c r="J21" s="29" t="s">
        <v>482</v>
      </c>
      <c r="K21" s="29" t="s">
        <v>483</v>
      </c>
      <c r="L21" s="29" t="s">
        <v>484</v>
      </c>
    </row>
    <row r="22" spans="1:12" x14ac:dyDescent="0.45">
      <c r="A22" s="29">
        <v>10</v>
      </c>
      <c r="B22" s="29">
        <v>0.38</v>
      </c>
      <c r="C22" s="29">
        <v>0.39</v>
      </c>
      <c r="D22" s="29">
        <v>0.41</v>
      </c>
      <c r="E22" s="29">
        <v>0.41</v>
      </c>
      <c r="F22" s="29" t="s">
        <v>433</v>
      </c>
      <c r="G22" s="29" t="s">
        <v>468</v>
      </c>
      <c r="H22" s="29" t="s">
        <v>466</v>
      </c>
      <c r="I22" s="29" t="s">
        <v>479</v>
      </c>
      <c r="J22" s="29" t="s">
        <v>470</v>
      </c>
      <c r="K22" s="29" t="s">
        <v>471</v>
      </c>
      <c r="L22" s="29" t="s">
        <v>485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Main</vt:lpstr>
      <vt:lpstr>Instructions</vt:lpstr>
      <vt:lpstr>Model Applicability</vt:lpstr>
      <vt:lpstr>ASK14</vt:lpstr>
      <vt:lpstr>ASK14_Coeffs</vt:lpstr>
      <vt:lpstr>BSSA14</vt:lpstr>
      <vt:lpstr>BSSA14_Coeffs</vt:lpstr>
      <vt:lpstr>CB14</vt:lpstr>
      <vt:lpstr>CB14_Coeffs</vt:lpstr>
      <vt:lpstr>CY14</vt:lpstr>
      <vt:lpstr>CY14_Coeffs</vt:lpstr>
      <vt:lpstr>I14</vt:lpstr>
      <vt:lpstr>I14_Coeffs</vt:lpstr>
      <vt:lpstr>GMPEs Comparison</vt:lpstr>
      <vt:lpstr>DSF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2023-10-02T14:26:10Z</dcterms:modified>
</cp:coreProperties>
</file>